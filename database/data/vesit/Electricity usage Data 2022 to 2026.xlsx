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VESIT R &amp; M DEPARTMENT\Abhay Sir\"/>
    </mc:Choice>
  </mc:AlternateContent>
  <bookViews>
    <workbookView xWindow="0" yWindow="0" windowWidth="11835" windowHeight="3945" activeTab="5"/>
  </bookViews>
  <sheets>
    <sheet name="2021" sheetId="6" r:id="rId1"/>
    <sheet name="2022" sheetId="1" r:id="rId2"/>
    <sheet name="2023" sheetId="2" r:id="rId3"/>
    <sheet name="2024" sheetId="3" r:id="rId4"/>
    <sheet name="2025" sheetId="4" r:id="rId5"/>
    <sheet name="2026" sheetId="5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5" l="1"/>
  <c r="G21" i="5"/>
  <c r="F21" i="5"/>
  <c r="D21" i="5"/>
  <c r="C21" i="5"/>
  <c r="B21" i="5"/>
  <c r="K20" i="5"/>
  <c r="J20" i="5"/>
  <c r="H20" i="5"/>
  <c r="G20" i="5"/>
  <c r="D20" i="5"/>
  <c r="C20" i="5"/>
  <c r="H21" i="4" l="1"/>
  <c r="G21" i="4"/>
  <c r="F21" i="4"/>
  <c r="D21" i="4"/>
  <c r="C21" i="4"/>
  <c r="B21" i="4"/>
  <c r="H20" i="4"/>
  <c r="G20" i="4"/>
  <c r="D20" i="4"/>
  <c r="F24" i="4" s="1"/>
  <c r="C20" i="4"/>
  <c r="F25" i="4" s="1"/>
  <c r="H21" i="3" l="1"/>
  <c r="G21" i="3"/>
  <c r="F21" i="3"/>
  <c r="D21" i="3"/>
  <c r="C21" i="3"/>
  <c r="B21" i="3"/>
  <c r="H20" i="3"/>
  <c r="G20" i="3"/>
  <c r="D20" i="3"/>
  <c r="F24" i="3" s="1"/>
  <c r="C20" i="3"/>
  <c r="F25" i="3" s="1"/>
  <c r="D24" i="2" l="1"/>
  <c r="I21" i="2"/>
  <c r="H21" i="2"/>
  <c r="G21" i="2"/>
  <c r="D21" i="2"/>
  <c r="C21" i="2"/>
  <c r="B21" i="2"/>
  <c r="I20" i="2"/>
  <c r="H20" i="2"/>
  <c r="D20" i="2"/>
  <c r="G26" i="2" s="1"/>
  <c r="C20" i="2"/>
  <c r="G27" i="2" s="1"/>
  <c r="J19" i="2"/>
  <c r="E19" i="2"/>
  <c r="J18" i="2"/>
  <c r="E18" i="2"/>
  <c r="J17" i="2"/>
  <c r="E17" i="2"/>
  <c r="J16" i="2"/>
  <c r="E16" i="2"/>
  <c r="J15" i="2"/>
  <c r="E15" i="2"/>
  <c r="J14" i="2"/>
  <c r="E14" i="2"/>
  <c r="J13" i="2"/>
  <c r="E13" i="2"/>
  <c r="J12" i="2"/>
  <c r="E12" i="2"/>
  <c r="J11" i="2"/>
  <c r="E11" i="2"/>
  <c r="J10" i="2"/>
  <c r="E10" i="2"/>
  <c r="E21" i="2" s="1"/>
  <c r="J9" i="2"/>
  <c r="J21" i="2" s="1"/>
  <c r="E9" i="2"/>
  <c r="J8" i="2"/>
  <c r="E8" i="2"/>
  <c r="I21" i="1" l="1"/>
  <c r="H21" i="1"/>
  <c r="G21" i="1"/>
  <c r="D21" i="1"/>
  <c r="C21" i="1"/>
  <c r="B21" i="1"/>
  <c r="I20" i="1"/>
  <c r="H20" i="1"/>
  <c r="D20" i="1"/>
  <c r="G24" i="1" s="1"/>
  <c r="C20" i="1"/>
  <c r="G25" i="1" s="1"/>
  <c r="J19" i="1"/>
  <c r="E19" i="1"/>
  <c r="J18" i="1"/>
  <c r="E18" i="1"/>
  <c r="J17" i="1"/>
  <c r="E17" i="1"/>
  <c r="J16" i="1"/>
  <c r="E16" i="1"/>
  <c r="J15" i="1"/>
  <c r="E15" i="1"/>
  <c r="J14" i="1"/>
  <c r="E14" i="1"/>
  <c r="J13" i="1"/>
  <c r="E13" i="1"/>
  <c r="J12" i="1"/>
  <c r="E12" i="1"/>
  <c r="J11" i="1"/>
  <c r="E11" i="1"/>
  <c r="J10" i="1"/>
  <c r="E10" i="1"/>
  <c r="E21" i="1" s="1"/>
  <c r="J9" i="1"/>
  <c r="J21" i="1" s="1"/>
  <c r="E9" i="1"/>
  <c r="J8" i="1"/>
  <c r="E8" i="1"/>
</calcChain>
</file>

<file path=xl/sharedStrings.xml><?xml version="1.0" encoding="utf-8"?>
<sst xmlns="http://schemas.openxmlformats.org/spreadsheetml/2006/main" count="102" uniqueCount="31">
  <si>
    <t>V.E.S INSTITUTE OF TECHNOLOGY</t>
  </si>
  <si>
    <t>REPAIR &amp; MAINTENANCE DEPARTMENT</t>
  </si>
  <si>
    <t>MONTHLY ENERGY CONSUMPTION &amp; EXPENSE JANUARY - 22 TO DECEMBER - 22</t>
  </si>
  <si>
    <t>MONTH &amp; YEAR</t>
  </si>
  <si>
    <t>A WING (CONTRACT DEMAND - 350 KVA)</t>
  </si>
  <si>
    <t>B WING (CONTRACT DEMAND - 175 KVA)</t>
  </si>
  <si>
    <t>BILLING DEMAND</t>
  </si>
  <si>
    <t>UNIT CONSUMED</t>
  </si>
  <si>
    <t>AMOUNT PAID</t>
  </si>
  <si>
    <t>Per Unit</t>
  </si>
  <si>
    <t>POWER FACTOR</t>
  </si>
  <si>
    <t xml:space="preserve">TOTAL </t>
  </si>
  <si>
    <t>AVG</t>
  </si>
  <si>
    <t>TOTAL AMOUNT PAID DURING YEAR 2022</t>
  </si>
  <si>
    <t>TOTAL KWH CONSUMED DURING YEAR 2022</t>
  </si>
  <si>
    <t>MONTHLY ENERGY CONSUMPTION &amp; EXPENSE JANUARY - 23 TO DECEMBER - 23</t>
  </si>
  <si>
    <t>Rate</t>
  </si>
  <si>
    <t>Wing</t>
  </si>
  <si>
    <t>Average</t>
  </si>
  <si>
    <t xml:space="preserve">A </t>
  </si>
  <si>
    <t>B</t>
  </si>
  <si>
    <t>MONTHLY ENERGY CONSUMPTION &amp; EXPENSE JANUARY - 24 TO DECEMBER - 24</t>
  </si>
  <si>
    <t>TOTAL AMOUNT PAID DURING YEAR 2024</t>
  </si>
  <si>
    <t>TOTAL KWH CONSUMED DURING YEAR 2024</t>
  </si>
  <si>
    <t>MONTHLY ENERGY CONSUMPTION &amp; EXPENSE JANUARY - 25 TO DECEMBER - 25</t>
  </si>
  <si>
    <t>TOTAL AMOUNT PAID DURING YEAR 2025</t>
  </si>
  <si>
    <t>TOTAL KWH CONSUMED DURING YEAR 2025</t>
  </si>
  <si>
    <t>MONTHLY ENERGY CONSUMPTION &amp; EXPENSE JANUARY - 26 TO DECEMBER - 26</t>
  </si>
  <si>
    <t>Contsruction</t>
  </si>
  <si>
    <t>TOTAL AMOUNT PAID DURING YEAR 2026</t>
  </si>
  <si>
    <t>TOTAL KWH CONSUMED DURING YEAR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</si>
</sst>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000.00"/>
    <numFmt numFmtId="165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 Light"/>
      <family val="1"/>
      <scheme val="maj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sz val="9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b/>
      <sz val="11"/>
      <color theme="1"/>
      <name val="Verdana"/>
      <family val="2"/>
    </font>
    <font>
      <b/>
      <sz val="10"/>
      <color theme="1"/>
      <name val="Verdana"/>
      <family val="2"/>
    </font>
    <font>
      <b/>
      <sz val="12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43" fontId="8" fillId="0" borderId="9" xfId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43" fontId="8" fillId="0" borderId="10" xfId="1" applyFont="1" applyBorder="1" applyAlignment="1">
      <alignment horizontal="center" vertical="center" wrapText="1"/>
    </xf>
    <xf numFmtId="43" fontId="8" fillId="0" borderId="11" xfId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17" fontId="9" fillId="0" borderId="8" xfId="0" applyNumberFormat="1" applyFont="1" applyBorder="1"/>
    <xf numFmtId="43" fontId="9" fillId="0" borderId="9" xfId="1" applyFont="1" applyBorder="1"/>
    <xf numFmtId="0" fontId="9" fillId="0" borderId="10" xfId="0" applyFont="1" applyBorder="1"/>
    <xf numFmtId="43" fontId="9" fillId="0" borderId="10" xfId="1" applyFont="1" applyBorder="1"/>
    <xf numFmtId="43" fontId="9" fillId="0" borderId="11" xfId="1" applyFont="1" applyBorder="1"/>
    <xf numFmtId="10" fontId="10" fillId="0" borderId="12" xfId="0" applyNumberFormat="1" applyFont="1" applyBorder="1"/>
    <xf numFmtId="43" fontId="9" fillId="0" borderId="9" xfId="1" applyFont="1" applyBorder="1" applyAlignment="1">
      <alignment horizontal="right"/>
    </xf>
    <xf numFmtId="43" fontId="9" fillId="2" borderId="13" xfId="1" applyFont="1" applyFill="1" applyBorder="1" applyAlignment="1">
      <alignment horizontal="right"/>
    </xf>
    <xf numFmtId="43" fontId="9" fillId="2" borderId="9" xfId="1" applyFont="1" applyFill="1" applyBorder="1"/>
    <xf numFmtId="0" fontId="9" fillId="2" borderId="13" xfId="0" applyFont="1" applyFill="1" applyBorder="1" applyAlignment="1">
      <alignment horizontal="right"/>
    </xf>
    <xf numFmtId="164" fontId="9" fillId="0" borderId="13" xfId="0" applyNumberFormat="1" applyFont="1" applyBorder="1" applyAlignment="1">
      <alignment horizontal="right"/>
    </xf>
    <xf numFmtId="165" fontId="9" fillId="0" borderId="13" xfId="0" applyNumberFormat="1" applyFont="1" applyBorder="1" applyAlignment="1">
      <alignment horizontal="center"/>
    </xf>
    <xf numFmtId="17" fontId="11" fillId="0" borderId="14" xfId="0" applyNumberFormat="1" applyFont="1" applyBorder="1" applyAlignment="1">
      <alignment vertical="center"/>
    </xf>
    <xf numFmtId="165" fontId="11" fillId="0" borderId="15" xfId="0" applyNumberFormat="1" applyFont="1" applyBorder="1" applyAlignment="1">
      <alignment horizontal="left"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10" fontId="6" fillId="0" borderId="17" xfId="0" applyNumberFormat="1" applyFont="1" applyBorder="1" applyAlignment="1">
      <alignment vertical="center"/>
    </xf>
    <xf numFmtId="43" fontId="11" fillId="0" borderId="15" xfId="1" applyFont="1" applyBorder="1" applyAlignment="1">
      <alignment horizontal="center" vertical="center"/>
    </xf>
    <xf numFmtId="0" fontId="6" fillId="0" borderId="0" xfId="0" applyFont="1"/>
    <xf numFmtId="17" fontId="11" fillId="0" borderId="18" xfId="0" applyNumberFormat="1" applyFont="1" applyBorder="1" applyAlignment="1">
      <alignment horizontal="center" vertical="center"/>
    </xf>
    <xf numFmtId="43" fontId="11" fillId="0" borderId="19" xfId="1" applyFont="1" applyBorder="1" applyAlignment="1">
      <alignment horizontal="center" vertical="center"/>
    </xf>
    <xf numFmtId="10" fontId="6" fillId="0" borderId="20" xfId="0" applyNumberFormat="1" applyFont="1" applyBorder="1" applyAlignment="1">
      <alignment vertical="center"/>
    </xf>
    <xf numFmtId="17" fontId="12" fillId="0" borderId="0" xfId="0" applyNumberFormat="1" applyFont="1" applyBorder="1" applyAlignment="1">
      <alignment horizontal="center" vertical="center"/>
    </xf>
    <xf numFmtId="43" fontId="12" fillId="0" borderId="0" xfId="1" applyFont="1" applyBorder="1" applyAlignment="1">
      <alignment horizontal="center" vertical="center"/>
    </xf>
    <xf numFmtId="43" fontId="13" fillId="0" borderId="0" xfId="1" applyFont="1" applyBorder="1" applyAlignment="1">
      <alignment horizontal="center" vertical="center"/>
    </xf>
    <xf numFmtId="43" fontId="11" fillId="0" borderId="0" xfId="1" applyFont="1" applyBorder="1" applyAlignment="1">
      <alignment horizontal="center" vertical="center"/>
    </xf>
    <xf numFmtId="43" fontId="14" fillId="0" borderId="0" xfId="1" applyFont="1" applyBorder="1" applyAlignment="1">
      <alignment horizontal="center" vertical="center"/>
    </xf>
    <xf numFmtId="10" fontId="6" fillId="0" borderId="0" xfId="0" applyNumberFormat="1" applyFont="1" applyBorder="1" applyAlignment="1">
      <alignment vertical="center"/>
    </xf>
    <xf numFmtId="43" fontId="0" fillId="0" borderId="0" xfId="1" applyFont="1"/>
    <xf numFmtId="0" fontId="10" fillId="0" borderId="0" xfId="0" applyFont="1"/>
    <xf numFmtId="0" fontId="0" fillId="0" borderId="0" xfId="0" applyAlignment="1">
      <alignment horizontal="center"/>
    </xf>
    <xf numFmtId="0" fontId="15" fillId="0" borderId="0" xfId="0" applyFont="1" applyAlignment="1"/>
    <xf numFmtId="43" fontId="15" fillId="0" borderId="0" xfId="0" applyNumberFormat="1" applyFont="1" applyAlignment="1">
      <alignment horizontal="center"/>
    </xf>
    <xf numFmtId="0" fontId="16" fillId="0" borderId="0" xfId="0" applyFont="1" applyAlignment="1"/>
    <xf numFmtId="0" fontId="17" fillId="0" borderId="0" xfId="0" applyFont="1" applyAlignment="1"/>
    <xf numFmtId="0" fontId="15" fillId="0" borderId="0" xfId="0" applyFont="1" applyAlignment="1">
      <alignment horizontal="right"/>
    </xf>
    <xf numFmtId="17" fontId="9" fillId="0" borderId="8" xfId="0" applyNumberFormat="1" applyFont="1" applyBorder="1" applyAlignment="1">
      <alignment horizontal="center" vertical="center"/>
    </xf>
    <xf numFmtId="43" fontId="9" fillId="0" borderId="9" xfId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43" fontId="9" fillId="0" borderId="10" xfId="1" applyFont="1" applyBorder="1" applyAlignment="1">
      <alignment horizontal="center" vertical="center"/>
    </xf>
    <xf numFmtId="43" fontId="9" fillId="0" borderId="11" xfId="1" applyFont="1" applyBorder="1" applyAlignment="1">
      <alignment horizontal="center" vertical="center"/>
    </xf>
    <xf numFmtId="10" fontId="10" fillId="0" borderId="12" xfId="0" applyNumberFormat="1" applyFont="1" applyBorder="1" applyAlignment="1">
      <alignment horizontal="center" vertical="center"/>
    </xf>
    <xf numFmtId="43" fontId="9" fillId="2" borderId="13" xfId="1" applyFont="1" applyFill="1" applyBorder="1" applyAlignment="1">
      <alignment horizontal="center" vertical="center"/>
    </xf>
    <xf numFmtId="43" fontId="9" fillId="2" borderId="9" xfId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164" fontId="9" fillId="0" borderId="13" xfId="0" applyNumberFormat="1" applyFont="1" applyBorder="1" applyAlignment="1">
      <alignment horizontal="center" vertical="center"/>
    </xf>
    <xf numFmtId="17" fontId="12" fillId="0" borderId="14" xfId="0" applyNumberFormat="1" applyFont="1" applyBorder="1" applyAlignment="1">
      <alignment horizontal="center" vertical="center"/>
    </xf>
    <xf numFmtId="165" fontId="12" fillId="0" borderId="1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43" fontId="2" fillId="0" borderId="16" xfId="1" applyFont="1" applyBorder="1" applyAlignment="1">
      <alignment horizontal="center" vertical="center"/>
    </xf>
    <xf numFmtId="43" fontId="2" fillId="0" borderId="21" xfId="1" applyFont="1" applyBorder="1" applyAlignment="1">
      <alignment horizontal="center" vertical="center"/>
    </xf>
    <xf numFmtId="10" fontId="6" fillId="0" borderId="17" xfId="0" applyNumberFormat="1" applyFont="1" applyBorder="1" applyAlignment="1">
      <alignment horizontal="center" vertical="center"/>
    </xf>
    <xf numFmtId="43" fontId="12" fillId="0" borderId="15" xfId="1" applyFont="1" applyBorder="1" applyAlignment="1">
      <alignment horizontal="center" vertical="center"/>
    </xf>
    <xf numFmtId="17" fontId="12" fillId="0" borderId="18" xfId="0" applyNumberFormat="1" applyFont="1" applyBorder="1" applyAlignment="1">
      <alignment horizontal="center" vertical="center"/>
    </xf>
    <xf numFmtId="43" fontId="12" fillId="0" borderId="19" xfId="1" applyFont="1" applyBorder="1" applyAlignment="1">
      <alignment horizontal="center" vertical="center"/>
    </xf>
    <xf numFmtId="43" fontId="13" fillId="0" borderId="19" xfId="1" applyFont="1" applyBorder="1" applyAlignment="1">
      <alignment horizontal="center" vertical="center"/>
    </xf>
    <xf numFmtId="43" fontId="14" fillId="0" borderId="19" xfId="1" applyFont="1" applyBorder="1" applyAlignment="1">
      <alignment horizontal="center" vertical="center"/>
    </xf>
    <xf numFmtId="10" fontId="6" fillId="0" borderId="20" xfId="0" applyNumberFormat="1" applyFont="1" applyBorder="1" applyAlignment="1">
      <alignment horizontal="center" vertical="center"/>
    </xf>
    <xf numFmtId="43" fontId="0" fillId="0" borderId="0" xfId="1" applyFont="1" applyAlignment="1">
      <alignment horizontal="center"/>
    </xf>
    <xf numFmtId="2" fontId="9" fillId="2" borderId="13" xfId="0" applyNumberFormat="1" applyFont="1" applyFill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165" fontId="9" fillId="0" borderId="13" xfId="0" applyNumberFormat="1" applyFont="1" applyBorder="1" applyAlignment="1">
      <alignment horizontal="center" vertical="center"/>
    </xf>
    <xf numFmtId="43" fontId="15" fillId="0" borderId="0" xfId="0" applyNumberFormat="1" applyFont="1" applyAlignment="1"/>
    <xf numFmtId="17" fontId="9" fillId="0" borderId="8" xfId="0" applyNumberFormat="1" applyFont="1" applyBorder="1" applyAlignment="1">
      <alignment horizontal="left" vertical="center"/>
    </xf>
    <xf numFmtId="0" fontId="18" fillId="0" borderId="0" xfId="0" applyFont="1"/>
    <xf numFmtId="0" fontId="19" fillId="0" borderId="0" xfId="0" applyFont="1" applyAlignment="1">
      <alignment horizontal="center"/>
    </xf>
    <xf numFmtId="0" fontId="2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 wrapText="1"/>
    </xf>
    <xf numFmtId="43" fontId="8" fillId="0" borderId="30" xfId="1" applyFont="1" applyBorder="1" applyAlignment="1">
      <alignment horizontal="center" vertical="center" wrapText="1"/>
    </xf>
    <xf numFmtId="17" fontId="18" fillId="0" borderId="29" xfId="0" applyNumberFormat="1" applyFont="1" applyBorder="1" applyAlignment="1">
      <alignment horizontal="center" vertical="center"/>
    </xf>
    <xf numFmtId="43" fontId="20" fillId="0" borderId="9" xfId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43" fontId="20" fillId="0" borderId="10" xfId="1" applyFont="1" applyBorder="1" applyAlignment="1">
      <alignment horizontal="center" vertical="center"/>
    </xf>
    <xf numFmtId="10" fontId="20" fillId="0" borderId="12" xfId="0" applyNumberFormat="1" applyFont="1" applyBorder="1" applyAlignment="1">
      <alignment horizontal="center" vertical="center"/>
    </xf>
    <xf numFmtId="10" fontId="20" fillId="0" borderId="11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43" fontId="20" fillId="0" borderId="30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" fontId="18" fillId="0" borderId="29" xfId="0" applyNumberFormat="1" applyFont="1" applyBorder="1" applyAlignment="1">
      <alignment horizontal="left" vertical="center"/>
    </xf>
    <xf numFmtId="17" fontId="14" fillId="0" borderId="31" xfId="0" applyNumberFormat="1" applyFont="1" applyBorder="1" applyAlignment="1">
      <alignment horizontal="center" vertical="center"/>
    </xf>
    <xf numFmtId="43" fontId="2" fillId="0" borderId="32" xfId="1" applyFont="1" applyBorder="1" applyAlignment="1">
      <alignment horizontal="center" vertical="center"/>
    </xf>
    <xf numFmtId="17" fontId="14" fillId="0" borderId="33" xfId="0" applyNumberFormat="1" applyFont="1" applyBorder="1" applyAlignment="1">
      <alignment horizontal="center" vertical="center"/>
    </xf>
    <xf numFmtId="43" fontId="12" fillId="0" borderId="34" xfId="1" applyFont="1" applyBorder="1" applyAlignment="1">
      <alignment horizontal="center" vertical="center"/>
    </xf>
    <xf numFmtId="43" fontId="13" fillId="0" borderId="34" xfId="1" applyFont="1" applyBorder="1" applyAlignment="1">
      <alignment horizontal="center" vertical="center"/>
    </xf>
    <xf numFmtId="43" fontId="11" fillId="0" borderId="34" xfId="1" applyFont="1" applyBorder="1" applyAlignment="1">
      <alignment horizontal="center" vertical="center"/>
    </xf>
    <xf numFmtId="43" fontId="14" fillId="0" borderId="34" xfId="1" applyFont="1" applyBorder="1" applyAlignment="1">
      <alignment horizontal="center" vertical="center"/>
    </xf>
    <xf numFmtId="10" fontId="6" fillId="0" borderId="35" xfId="0" applyNumberFormat="1" applyFont="1" applyBorder="1" applyAlignment="1">
      <alignment horizontal="center" vertical="center"/>
    </xf>
    <xf numFmtId="43" fontId="0" fillId="0" borderId="36" xfId="1" applyFont="1" applyBorder="1"/>
    <xf numFmtId="17" fontId="14" fillId="0" borderId="0" xfId="0" applyNumberFormat="1" applyFont="1" applyBorder="1" applyAlignment="1">
      <alignment horizontal="center" vertical="center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6"/>
  <sheetViews>
    <sheetView workbookViewId="0">
      <selection activeCell="P14" sqref="P14"/>
    </sheetView>
  </sheetViews>
  <sheetFormatPr defaultRowHeight="15.75" x14ac:dyDescent="0.25"/>
  <cols>
    <col min="1" max="1" width="9.5703125" customWidth="1"/>
    <col min="2" max="2" width="10.5703125" customWidth="1"/>
    <col min="3" max="3" width="13.140625" bestFit="1" customWidth="1"/>
    <col min="4" max="4" width="14.85546875" customWidth="1"/>
    <col min="5" max="5" width="8.28515625" customWidth="1"/>
    <col min="6" max="6" width="8.5703125" style="50" customWidth="1"/>
    <col min="7" max="7" width="10.5703125" style="51" customWidth="1"/>
    <col min="8" max="8" width="13.140625" bestFit="1" customWidth="1"/>
    <col min="9" max="9" width="15.28515625" bestFit="1" customWidth="1"/>
    <col min="10" max="10" width="8.28515625" customWidth="1"/>
    <col min="11" max="11" width="8.140625" style="50" customWidth="1"/>
  </cols>
  <sheetData>
    <row r="2" spans="1:11" ht="33.75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3.25" x14ac:dyDescent="0.3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8.75" x14ac:dyDescent="0.3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9.5" thickBot="1" x14ac:dyDescent="0.35">
      <c r="A5" s="4"/>
      <c r="B5" s="5"/>
      <c r="C5" s="4"/>
      <c r="D5" s="5"/>
      <c r="E5" s="5"/>
      <c r="F5" s="6"/>
      <c r="G5" s="4"/>
      <c r="H5" s="4"/>
      <c r="I5" s="5"/>
      <c r="J5" s="5"/>
      <c r="K5" s="6"/>
    </row>
    <row r="6" spans="1:11" ht="18" thickTop="1" x14ac:dyDescent="0.25">
      <c r="A6" s="7" t="s">
        <v>3</v>
      </c>
      <c r="B6" s="8" t="s">
        <v>4</v>
      </c>
      <c r="C6" s="8"/>
      <c r="D6" s="8"/>
      <c r="E6" s="8"/>
      <c r="F6" s="9"/>
      <c r="G6" s="10" t="s">
        <v>5</v>
      </c>
      <c r="H6" s="11"/>
      <c r="I6" s="11"/>
      <c r="J6" s="12"/>
      <c r="K6" s="13"/>
    </row>
    <row r="7" spans="1:11" ht="28.5" x14ac:dyDescent="0.25">
      <c r="A7" s="14"/>
      <c r="B7" s="15" t="s">
        <v>6</v>
      </c>
      <c r="C7" s="16" t="s">
        <v>7</v>
      </c>
      <c r="D7" s="17" t="s">
        <v>8</v>
      </c>
      <c r="E7" s="18" t="s">
        <v>9</v>
      </c>
      <c r="F7" s="19" t="s">
        <v>10</v>
      </c>
      <c r="G7" s="20" t="s">
        <v>6</v>
      </c>
      <c r="H7" s="16" t="s">
        <v>7</v>
      </c>
      <c r="I7" s="17" t="s">
        <v>8</v>
      </c>
      <c r="J7" s="18" t="s">
        <v>9</v>
      </c>
      <c r="K7" s="19" t="s">
        <v>10</v>
      </c>
    </row>
    <row r="8" spans="1:11" ht="17.25" x14ac:dyDescent="0.3">
      <c r="A8" s="21">
        <v>44562</v>
      </c>
      <c r="B8" s="22">
        <v>72</v>
      </c>
      <c r="C8" s="23">
        <v>4806</v>
      </c>
      <c r="D8" s="24">
        <v>71300</v>
      </c>
      <c r="E8" s="25">
        <f>D8/C8</f>
        <v>14.835622138992926</v>
      </c>
      <c r="F8" s="26">
        <v>0.96860000000000002</v>
      </c>
      <c r="G8" s="27">
        <v>90</v>
      </c>
      <c r="H8" s="23">
        <v>7520</v>
      </c>
      <c r="I8" s="24">
        <v>102800</v>
      </c>
      <c r="J8" s="25">
        <f>I8/H8</f>
        <v>13.670212765957446</v>
      </c>
      <c r="K8" s="26">
        <v>0.96699999999999997</v>
      </c>
    </row>
    <row r="9" spans="1:11" ht="17.25" x14ac:dyDescent="0.3">
      <c r="A9" s="21">
        <v>44593</v>
      </c>
      <c r="B9" s="22">
        <v>72</v>
      </c>
      <c r="C9" s="23">
        <v>5989</v>
      </c>
      <c r="D9" s="24">
        <v>153930</v>
      </c>
      <c r="E9" s="25">
        <f t="shared" ref="E9:E19" si="0">D9/C9</f>
        <v>25.702120554349641</v>
      </c>
      <c r="F9" s="26">
        <v>0.98399999999999999</v>
      </c>
      <c r="G9" s="28">
        <v>90</v>
      </c>
      <c r="H9" s="23">
        <v>8055</v>
      </c>
      <c r="I9" s="24">
        <v>211550</v>
      </c>
      <c r="J9" s="25">
        <f t="shared" ref="J9:J19" si="1">I9/H9</f>
        <v>26.263190564866541</v>
      </c>
      <c r="K9" s="26">
        <v>0.96870000000000001</v>
      </c>
    </row>
    <row r="10" spans="1:11" ht="17.25" x14ac:dyDescent="0.3">
      <c r="A10" s="21">
        <v>44621</v>
      </c>
      <c r="B10" s="29">
        <v>194.09</v>
      </c>
      <c r="C10" s="23">
        <v>26252</v>
      </c>
      <c r="D10" s="24">
        <v>303170</v>
      </c>
      <c r="E10" s="25">
        <f t="shared" si="0"/>
        <v>11.548453451165626</v>
      </c>
      <c r="F10" s="26">
        <v>0.99880000000000002</v>
      </c>
      <c r="G10" s="30">
        <v>186.11</v>
      </c>
      <c r="H10" s="23">
        <v>23851</v>
      </c>
      <c r="I10" s="24">
        <v>286880</v>
      </c>
      <c r="J10" s="25">
        <f t="shared" si="1"/>
        <v>12.028007211437675</v>
      </c>
      <c r="K10" s="26">
        <v>0.99629999999999996</v>
      </c>
    </row>
    <row r="11" spans="1:11" ht="17.25" x14ac:dyDescent="0.3">
      <c r="A11" s="21">
        <v>44652</v>
      </c>
      <c r="B11" s="29">
        <v>233.54</v>
      </c>
      <c r="C11" s="23">
        <v>34559</v>
      </c>
      <c r="D11" s="24">
        <v>398530</v>
      </c>
      <c r="E11" s="25">
        <f t="shared" si="0"/>
        <v>11.53187302873347</v>
      </c>
      <c r="F11" s="26">
        <v>0.99950000000000006</v>
      </c>
      <c r="G11" s="30">
        <v>237.18</v>
      </c>
      <c r="H11" s="23">
        <v>34770</v>
      </c>
      <c r="I11" s="24">
        <v>402420</v>
      </c>
      <c r="J11" s="25">
        <f t="shared" si="1"/>
        <v>11.573770491803279</v>
      </c>
      <c r="K11" s="26">
        <v>0.998</v>
      </c>
    </row>
    <row r="12" spans="1:11" ht="17.25" x14ac:dyDescent="0.3">
      <c r="A12" s="21">
        <v>44682</v>
      </c>
      <c r="B12" s="22">
        <v>187.56</v>
      </c>
      <c r="C12" s="23">
        <v>26065</v>
      </c>
      <c r="D12" s="24">
        <v>305120</v>
      </c>
      <c r="E12" s="25">
        <f t="shared" si="0"/>
        <v>11.706119317091886</v>
      </c>
      <c r="F12" s="26">
        <v>0.99939999999999996</v>
      </c>
      <c r="G12" s="31">
        <v>193.7</v>
      </c>
      <c r="H12" s="23">
        <v>28374</v>
      </c>
      <c r="I12" s="24">
        <v>328010</v>
      </c>
      <c r="J12" s="25">
        <f t="shared" si="1"/>
        <v>11.560231197575245</v>
      </c>
      <c r="K12" s="26">
        <v>0.99729999999999996</v>
      </c>
    </row>
    <row r="13" spans="1:11" ht="17.25" x14ac:dyDescent="0.3">
      <c r="A13" s="21">
        <v>44713</v>
      </c>
      <c r="B13" s="22">
        <v>175.16</v>
      </c>
      <c r="C13" s="23">
        <v>22668</v>
      </c>
      <c r="D13" s="24">
        <v>270390</v>
      </c>
      <c r="E13" s="25">
        <f t="shared" si="0"/>
        <v>11.928268925357331</v>
      </c>
      <c r="F13" s="26">
        <v>0.99619999999999997</v>
      </c>
      <c r="G13" s="31">
        <v>193.7</v>
      </c>
      <c r="H13" s="23">
        <v>20967</v>
      </c>
      <c r="I13" s="24">
        <v>263650</v>
      </c>
      <c r="J13" s="25">
        <f t="shared" si="1"/>
        <v>12.574521867696857</v>
      </c>
      <c r="K13" s="26">
        <v>0.99560000000000004</v>
      </c>
    </row>
    <row r="14" spans="1:11" ht="17.25" x14ac:dyDescent="0.3">
      <c r="A14" s="21">
        <v>44743</v>
      </c>
      <c r="B14" s="22">
        <v>175.16</v>
      </c>
      <c r="C14" s="23">
        <v>17003</v>
      </c>
      <c r="D14" s="24">
        <v>241690</v>
      </c>
      <c r="E14" s="25">
        <f t="shared" si="0"/>
        <v>14.214550373463506</v>
      </c>
      <c r="F14" s="26">
        <v>0.99339999999999995</v>
      </c>
      <c r="G14" s="31">
        <v>193.7</v>
      </c>
      <c r="H14" s="23">
        <v>16667</v>
      </c>
      <c r="I14" s="24">
        <v>246190</v>
      </c>
      <c r="J14" s="25">
        <f t="shared" si="1"/>
        <v>14.771104577908442</v>
      </c>
      <c r="K14" s="26">
        <v>0.99350000000000005</v>
      </c>
    </row>
    <row r="15" spans="1:11" ht="17.25" x14ac:dyDescent="0.3">
      <c r="A15" s="21">
        <v>44774</v>
      </c>
      <c r="B15" s="22">
        <v>175.16</v>
      </c>
      <c r="C15" s="23">
        <v>20439</v>
      </c>
      <c r="D15" s="24">
        <v>275300</v>
      </c>
      <c r="E15" s="25">
        <f t="shared" si="0"/>
        <v>13.469347815450854</v>
      </c>
      <c r="F15" s="26">
        <v>0.99390000000000001</v>
      </c>
      <c r="G15" s="31">
        <v>193.7</v>
      </c>
      <c r="H15" s="23">
        <v>20087</v>
      </c>
      <c r="I15" s="24">
        <v>279630</v>
      </c>
      <c r="J15" s="25">
        <f t="shared" si="1"/>
        <v>13.920943894060835</v>
      </c>
      <c r="K15" s="26">
        <v>0.99299999999999999</v>
      </c>
    </row>
    <row r="16" spans="1:11" ht="17.25" x14ac:dyDescent="0.3">
      <c r="A16" s="21">
        <v>44805</v>
      </c>
      <c r="B16" s="22">
        <v>175.16</v>
      </c>
      <c r="C16" s="23">
        <v>20871</v>
      </c>
      <c r="D16" s="24">
        <v>279750</v>
      </c>
      <c r="E16" s="25">
        <f t="shared" si="0"/>
        <v>13.403765991088113</v>
      </c>
      <c r="F16" s="26">
        <v>0.99160000000000004</v>
      </c>
      <c r="G16" s="31">
        <v>193.7</v>
      </c>
      <c r="H16" s="23">
        <v>20315</v>
      </c>
      <c r="I16" s="24">
        <v>281890</v>
      </c>
      <c r="J16" s="25">
        <f t="shared" si="1"/>
        <v>13.875953728771844</v>
      </c>
      <c r="K16" s="26">
        <v>0.99380000000000002</v>
      </c>
    </row>
    <row r="17" spans="1:11" ht="17.25" x14ac:dyDescent="0.3">
      <c r="A17" s="21">
        <v>44835</v>
      </c>
      <c r="B17" s="22">
        <v>176.92</v>
      </c>
      <c r="C17" s="23">
        <v>21555</v>
      </c>
      <c r="D17" s="24">
        <v>286940</v>
      </c>
      <c r="E17" s="25">
        <f t="shared" si="0"/>
        <v>13.311992577128276</v>
      </c>
      <c r="F17" s="26">
        <v>0.99590000000000001</v>
      </c>
      <c r="G17" s="31">
        <v>193.7</v>
      </c>
      <c r="H17" s="23">
        <v>19541</v>
      </c>
      <c r="I17" s="24">
        <v>274266</v>
      </c>
      <c r="J17" s="25">
        <f t="shared" si="1"/>
        <v>14.035412721969193</v>
      </c>
      <c r="K17" s="26">
        <v>0.99450000000000005</v>
      </c>
    </row>
    <row r="18" spans="1:11" ht="17.25" x14ac:dyDescent="0.3">
      <c r="A18" s="21">
        <v>44866</v>
      </c>
      <c r="B18" s="22">
        <v>175.16</v>
      </c>
      <c r="C18" s="23">
        <v>16167</v>
      </c>
      <c r="D18" s="24">
        <v>233240</v>
      </c>
      <c r="E18" s="25">
        <f t="shared" si="0"/>
        <v>14.426919032597265</v>
      </c>
      <c r="F18" s="26">
        <v>0.99470000000000003</v>
      </c>
      <c r="G18" s="31">
        <v>193.7</v>
      </c>
      <c r="H18" s="23">
        <v>18169</v>
      </c>
      <c r="I18" s="24">
        <v>260950</v>
      </c>
      <c r="J18" s="25">
        <f t="shared" si="1"/>
        <v>14.362375474709671</v>
      </c>
      <c r="K18" s="26">
        <v>0.99280000000000002</v>
      </c>
    </row>
    <row r="19" spans="1:11" ht="18" thickBot="1" x14ac:dyDescent="0.35">
      <c r="A19" s="21">
        <v>44896</v>
      </c>
      <c r="B19" s="22">
        <v>175.16</v>
      </c>
      <c r="C19" s="23">
        <v>16254</v>
      </c>
      <c r="D19" s="24">
        <v>238750</v>
      </c>
      <c r="E19" s="25">
        <f t="shared" si="0"/>
        <v>14.688692014273409</v>
      </c>
      <c r="F19" s="26">
        <v>0.99470000000000003</v>
      </c>
      <c r="G19" s="32">
        <v>193.7</v>
      </c>
      <c r="H19" s="23">
        <v>17899</v>
      </c>
      <c r="I19" s="24">
        <v>263600</v>
      </c>
      <c r="J19" s="25">
        <f t="shared" si="1"/>
        <v>14.727079725124309</v>
      </c>
      <c r="K19" s="26"/>
    </row>
    <row r="20" spans="1:11" s="39" customFormat="1" ht="17.25" thickTop="1" thickBot="1" x14ac:dyDescent="0.3">
      <c r="A20" s="33" t="s">
        <v>11</v>
      </c>
      <c r="B20" s="34"/>
      <c r="C20" s="35">
        <f>SUM(C8:C19)</f>
        <v>232628</v>
      </c>
      <c r="D20" s="36">
        <f>SUM(D8:D19)</f>
        <v>3058110</v>
      </c>
      <c r="E20" s="36"/>
      <c r="F20" s="37"/>
      <c r="G20" s="38"/>
      <c r="H20" s="35">
        <f>SUM(H8:H19)</f>
        <v>236215</v>
      </c>
      <c r="I20" s="36">
        <f>SUM(I8:I19)</f>
        <v>3201836</v>
      </c>
      <c r="J20" s="36"/>
      <c r="K20" s="37"/>
    </row>
    <row r="21" spans="1:11" s="39" customFormat="1" ht="17.25" thickTop="1" thickBot="1" x14ac:dyDescent="0.3">
      <c r="A21" s="40" t="s">
        <v>12</v>
      </c>
      <c r="B21" s="41">
        <f>AVERAGE(B8:B19)</f>
        <v>165.5891666666667</v>
      </c>
      <c r="C21" s="41">
        <f>AVERAGE(C8:C19)</f>
        <v>19385.666666666668</v>
      </c>
      <c r="D21" s="41">
        <f>AVERAGE(D8:D19)</f>
        <v>254842.5</v>
      </c>
      <c r="E21" s="41">
        <f>AVERAGE(E8:E19)</f>
        <v>14.230643768307694</v>
      </c>
      <c r="F21" s="41"/>
      <c r="G21" s="41">
        <f>AVERAGE(G8:G20)</f>
        <v>179.40750000000003</v>
      </c>
      <c r="H21" s="41">
        <f>AVERAGE(H8:H19)</f>
        <v>19684.583333333332</v>
      </c>
      <c r="I21" s="41">
        <f>AVERAGE(I8:I19)</f>
        <v>266819.66666666669</v>
      </c>
      <c r="J21" s="41">
        <f>AVERAGE(J8:J20)</f>
        <v>14.446900351823443</v>
      </c>
      <c r="K21" s="42"/>
    </row>
    <row r="22" spans="1:11" ht="16.5" thickTop="1" x14ac:dyDescent="0.25">
      <c r="A22" s="43"/>
      <c r="B22" s="44"/>
      <c r="C22" s="45"/>
      <c r="D22" s="44"/>
      <c r="E22" s="44"/>
      <c r="F22" s="46"/>
      <c r="G22" s="44"/>
      <c r="H22" s="47"/>
      <c r="I22" s="44"/>
      <c r="J22" s="44"/>
      <c r="K22" s="48"/>
    </row>
    <row r="23" spans="1:11" x14ac:dyDescent="0.25">
      <c r="B23" s="49"/>
      <c r="D23" s="49"/>
      <c r="E23" s="49"/>
      <c r="I23" s="49"/>
      <c r="J23" s="49"/>
    </row>
    <row r="24" spans="1:11" x14ac:dyDescent="0.25">
      <c r="A24" s="52" t="s">
        <v>13</v>
      </c>
      <c r="B24" s="52"/>
      <c r="C24" s="52"/>
      <c r="D24" s="52"/>
      <c r="E24" s="52"/>
      <c r="F24" s="52"/>
      <c r="G24" s="53">
        <f>D20+I20</f>
        <v>6259946</v>
      </c>
      <c r="H24" s="53"/>
      <c r="I24" s="54"/>
      <c r="J24" s="54"/>
      <c r="K24" s="55"/>
    </row>
    <row r="25" spans="1:11" x14ac:dyDescent="0.25">
      <c r="A25" s="52" t="s">
        <v>14</v>
      </c>
      <c r="B25" s="52"/>
      <c r="C25" s="52"/>
      <c r="D25" s="52"/>
      <c r="E25" s="52"/>
      <c r="F25" s="52"/>
      <c r="G25" s="56">
        <f>C20+H20</f>
        <v>468843</v>
      </c>
      <c r="H25" s="56"/>
      <c r="I25" s="54"/>
      <c r="J25" s="54"/>
      <c r="K25" s="55"/>
    </row>
    <row r="26" spans="1:11" x14ac:dyDescent="0.25">
      <c r="B26" s="49"/>
      <c r="D26" s="49"/>
      <c r="E26" s="49"/>
      <c r="I26" s="49"/>
      <c r="J26" s="49"/>
    </row>
  </sheetData>
  <mergeCells count="10">
    <mergeCell ref="A24:F24"/>
    <mergeCell ref="G24:H24"/>
    <mergeCell ref="A25:F25"/>
    <mergeCell ref="G25:H25"/>
    <mergeCell ref="A2:K2"/>
    <mergeCell ref="A3:K3"/>
    <mergeCell ref="A4:K4"/>
    <mergeCell ref="A6:A7"/>
    <mergeCell ref="B6:F6"/>
    <mergeCell ref="G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workbookViewId="0">
      <selection activeCell="Q6" sqref="Q6"/>
    </sheetView>
  </sheetViews>
  <sheetFormatPr defaultRowHeight="15.75" x14ac:dyDescent="0.25"/>
  <cols>
    <col min="2" max="2" width="10.5703125" customWidth="1"/>
    <col min="3" max="3" width="10.7109375" customWidth="1"/>
    <col min="4" max="4" width="14.85546875" customWidth="1"/>
    <col min="5" max="5" width="8.28515625" bestFit="1" customWidth="1"/>
    <col min="6" max="6" width="8.5703125" style="50" customWidth="1"/>
    <col min="7" max="7" width="10.5703125" style="51" customWidth="1"/>
    <col min="8" max="8" width="11.140625" customWidth="1"/>
    <col min="9" max="9" width="16.7109375" customWidth="1"/>
    <col min="10" max="10" width="8.28515625" bestFit="1" customWidth="1"/>
    <col min="11" max="11" width="8.140625" style="50" customWidth="1"/>
  </cols>
  <sheetData>
    <row r="2" spans="1:11" ht="33.75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3.25" x14ac:dyDescent="0.3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8.75" x14ac:dyDescent="0.3">
      <c r="A4" s="3" t="s">
        <v>15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9.5" thickBot="1" x14ac:dyDescent="0.35">
      <c r="A5" s="4"/>
      <c r="B5" s="5"/>
      <c r="C5" s="4"/>
      <c r="D5" s="5"/>
      <c r="E5" s="5"/>
      <c r="F5" s="6"/>
      <c r="G5" s="4"/>
      <c r="H5" s="4"/>
      <c r="I5" s="5"/>
      <c r="J5" s="5"/>
      <c r="K5" s="6"/>
    </row>
    <row r="6" spans="1:11" ht="18" thickTop="1" x14ac:dyDescent="0.25">
      <c r="A6" s="7" t="s">
        <v>3</v>
      </c>
      <c r="B6" s="8" t="s">
        <v>4</v>
      </c>
      <c r="C6" s="8"/>
      <c r="D6" s="8"/>
      <c r="E6" s="8"/>
      <c r="F6" s="9"/>
      <c r="G6" s="10" t="s">
        <v>5</v>
      </c>
      <c r="H6" s="11"/>
      <c r="I6" s="11"/>
      <c r="J6" s="12"/>
      <c r="K6" s="13"/>
    </row>
    <row r="7" spans="1:11" ht="42.75" x14ac:dyDescent="0.25">
      <c r="A7" s="14"/>
      <c r="B7" s="15" t="s">
        <v>6</v>
      </c>
      <c r="C7" s="16" t="s">
        <v>7</v>
      </c>
      <c r="D7" s="17" t="s">
        <v>8</v>
      </c>
      <c r="E7" s="18" t="s">
        <v>16</v>
      </c>
      <c r="F7" s="19" t="s">
        <v>10</v>
      </c>
      <c r="G7" s="20" t="s">
        <v>6</v>
      </c>
      <c r="H7" s="16" t="s">
        <v>7</v>
      </c>
      <c r="I7" s="17" t="s">
        <v>8</v>
      </c>
      <c r="J7" s="18" t="s">
        <v>16</v>
      </c>
      <c r="K7" s="19" t="s">
        <v>10</v>
      </c>
    </row>
    <row r="8" spans="1:11" ht="17.25" x14ac:dyDescent="0.25">
      <c r="A8" s="57">
        <v>44927</v>
      </c>
      <c r="B8" s="58">
        <v>175.16</v>
      </c>
      <c r="C8" s="59">
        <v>14150</v>
      </c>
      <c r="D8" s="60">
        <v>217700</v>
      </c>
      <c r="E8" s="61">
        <f>D8/C8</f>
        <v>15.385159010600706</v>
      </c>
      <c r="F8" s="62">
        <v>0.9879</v>
      </c>
      <c r="G8" s="58">
        <v>193.7</v>
      </c>
      <c r="H8" s="59">
        <v>14600</v>
      </c>
      <c r="I8" s="60">
        <v>230110</v>
      </c>
      <c r="J8" s="61">
        <f>I8/H8</f>
        <v>15.760958904109589</v>
      </c>
      <c r="K8" s="62">
        <v>0.98970000000000002</v>
      </c>
    </row>
    <row r="9" spans="1:11" ht="17.25" x14ac:dyDescent="0.25">
      <c r="A9" s="57">
        <v>44958</v>
      </c>
      <c r="B9" s="58">
        <v>175.16</v>
      </c>
      <c r="C9" s="59">
        <v>20046</v>
      </c>
      <c r="D9" s="60">
        <v>277370</v>
      </c>
      <c r="E9" s="61">
        <f t="shared" ref="E9:E19" si="0">D9/C9</f>
        <v>13.836675646014168</v>
      </c>
      <c r="F9" s="62">
        <v>0.99609999999999999</v>
      </c>
      <c r="G9" s="63">
        <v>193.7</v>
      </c>
      <c r="H9" s="59">
        <v>20081</v>
      </c>
      <c r="I9" s="60">
        <v>285520</v>
      </c>
      <c r="J9" s="61">
        <f t="shared" ref="J9:J19" si="1">I9/H9</f>
        <v>14.218415417558887</v>
      </c>
      <c r="K9" s="62">
        <v>0.99409999999999998</v>
      </c>
    </row>
    <row r="10" spans="1:11" ht="17.25" x14ac:dyDescent="0.25">
      <c r="A10" s="57">
        <v>44986</v>
      </c>
      <c r="B10" s="64">
        <v>187.07</v>
      </c>
      <c r="C10" s="59">
        <v>26681</v>
      </c>
      <c r="D10" s="60">
        <v>349310</v>
      </c>
      <c r="E10" s="61">
        <f t="shared" si="0"/>
        <v>13.092088002698549</v>
      </c>
      <c r="F10" s="62">
        <v>0.99731999999999998</v>
      </c>
      <c r="G10" s="63">
        <v>193.7</v>
      </c>
      <c r="H10" s="59">
        <v>27959</v>
      </c>
      <c r="I10" s="60">
        <v>364940</v>
      </c>
      <c r="J10" s="61">
        <f t="shared" si="1"/>
        <v>13.052684287706999</v>
      </c>
      <c r="K10" s="62">
        <v>0.99660000000000004</v>
      </c>
    </row>
    <row r="11" spans="1:11" ht="17.25" x14ac:dyDescent="0.25">
      <c r="A11" s="57">
        <v>45017</v>
      </c>
      <c r="B11" s="64">
        <v>230.63</v>
      </c>
      <c r="C11" s="59">
        <v>29963</v>
      </c>
      <c r="D11" s="60">
        <v>417300</v>
      </c>
      <c r="E11" s="61">
        <f t="shared" si="0"/>
        <v>13.927176851450122</v>
      </c>
      <c r="F11" s="62">
        <v>0.99909999999999999</v>
      </c>
      <c r="G11" s="65">
        <v>224.58</v>
      </c>
      <c r="H11" s="59">
        <v>32369</v>
      </c>
      <c r="I11" s="60">
        <v>439560</v>
      </c>
      <c r="J11" s="61">
        <f t="shared" si="1"/>
        <v>13.579659550804783</v>
      </c>
      <c r="K11" s="62">
        <v>0.99680000000000002</v>
      </c>
    </row>
    <row r="12" spans="1:11" ht="17.25" x14ac:dyDescent="0.25">
      <c r="A12" s="57">
        <v>45047</v>
      </c>
      <c r="B12" s="58">
        <v>184.1</v>
      </c>
      <c r="C12" s="59">
        <v>27580</v>
      </c>
      <c r="D12" s="60">
        <v>370780</v>
      </c>
      <c r="E12" s="61">
        <f t="shared" si="0"/>
        <v>13.443799854967368</v>
      </c>
      <c r="F12" s="62">
        <v>0.99929999999999997</v>
      </c>
      <c r="G12" s="66">
        <v>208.6</v>
      </c>
      <c r="H12" s="59">
        <v>27909</v>
      </c>
      <c r="I12" s="60">
        <v>385640</v>
      </c>
      <c r="J12" s="61">
        <f t="shared" si="1"/>
        <v>13.817764878712961</v>
      </c>
      <c r="K12" s="62">
        <v>0.997</v>
      </c>
    </row>
    <row r="13" spans="1:11" ht="17.25" x14ac:dyDescent="0.25">
      <c r="A13" s="57">
        <v>45078</v>
      </c>
      <c r="B13" s="58">
        <v>184.1</v>
      </c>
      <c r="C13" s="59">
        <v>21383</v>
      </c>
      <c r="D13" s="60">
        <v>306309</v>
      </c>
      <c r="E13" s="61">
        <f t="shared" si="0"/>
        <v>14.324884253846514</v>
      </c>
      <c r="F13" s="62">
        <v>0.99880000000000002</v>
      </c>
      <c r="G13" s="66">
        <v>208.6</v>
      </c>
      <c r="H13" s="59">
        <v>22758</v>
      </c>
      <c r="I13" s="60">
        <v>331960</v>
      </c>
      <c r="J13" s="61">
        <f t="shared" si="1"/>
        <v>14.586519026276473</v>
      </c>
      <c r="K13" s="62">
        <v>0.99570000000000003</v>
      </c>
    </row>
    <row r="14" spans="1:11" ht="17.25" x14ac:dyDescent="0.25">
      <c r="A14" s="57">
        <v>45108</v>
      </c>
      <c r="B14" s="58">
        <v>184.1</v>
      </c>
      <c r="C14" s="59">
        <v>16484</v>
      </c>
      <c r="D14" s="60">
        <v>255860</v>
      </c>
      <c r="E14" s="61">
        <f t="shared" si="0"/>
        <v>15.521718029604465</v>
      </c>
      <c r="F14" s="62">
        <v>0.99760000000000004</v>
      </c>
      <c r="G14" s="66">
        <v>208.6</v>
      </c>
      <c r="H14" s="59">
        <v>19698</v>
      </c>
      <c r="I14" s="60">
        <v>300630</v>
      </c>
      <c r="J14" s="61">
        <f t="shared" si="1"/>
        <v>15.261955528480049</v>
      </c>
      <c r="K14" s="62">
        <v>0.99380000000000002</v>
      </c>
    </row>
    <row r="15" spans="1:11" ht="17.25" x14ac:dyDescent="0.25">
      <c r="A15" s="57">
        <v>45139</v>
      </c>
      <c r="B15" s="58">
        <v>191.18</v>
      </c>
      <c r="C15" s="59">
        <v>26943</v>
      </c>
      <c r="D15" s="60">
        <v>368200</v>
      </c>
      <c r="E15" s="61">
        <f t="shared" si="0"/>
        <v>13.665887243439855</v>
      </c>
      <c r="F15" s="62">
        <v>0.99690000000000001</v>
      </c>
      <c r="G15" s="66">
        <v>208.6</v>
      </c>
      <c r="H15" s="59">
        <v>28510</v>
      </c>
      <c r="I15" s="60">
        <v>392600</v>
      </c>
      <c r="J15" s="61">
        <f t="shared" si="1"/>
        <v>13.770606804629955</v>
      </c>
      <c r="K15" s="62">
        <v>0.99680000000000002</v>
      </c>
    </row>
    <row r="16" spans="1:11" ht="17.25" x14ac:dyDescent="0.25">
      <c r="A16" s="57">
        <v>45170</v>
      </c>
      <c r="B16" s="58">
        <v>201.83</v>
      </c>
      <c r="C16" s="59">
        <v>20930</v>
      </c>
      <c r="D16" s="60">
        <v>310280</v>
      </c>
      <c r="E16" s="61">
        <f t="shared" si="0"/>
        <v>14.824653607262302</v>
      </c>
      <c r="F16" s="62">
        <v>0.99650000000000005</v>
      </c>
      <c r="G16" s="66">
        <v>208.6</v>
      </c>
      <c r="H16" s="59">
        <v>23956</v>
      </c>
      <c r="I16" s="60">
        <v>345180</v>
      </c>
      <c r="J16" s="61">
        <f t="shared" si="1"/>
        <v>14.408916346635499</v>
      </c>
      <c r="K16" s="62">
        <v>0.99650000000000005</v>
      </c>
    </row>
    <row r="17" spans="1:11" ht="17.25" x14ac:dyDescent="0.25">
      <c r="A17" s="57">
        <v>45200</v>
      </c>
      <c r="B17" s="58">
        <v>222.64</v>
      </c>
      <c r="C17" s="59">
        <v>33049</v>
      </c>
      <c r="D17" s="60">
        <v>446340</v>
      </c>
      <c r="E17" s="61">
        <f t="shared" si="0"/>
        <v>13.505401071136797</v>
      </c>
      <c r="F17" s="62">
        <v>0.99770000000000003</v>
      </c>
      <c r="G17" s="66">
        <v>211.26</v>
      </c>
      <c r="H17" s="59">
        <v>34122</v>
      </c>
      <c r="I17" s="60">
        <v>452390</v>
      </c>
      <c r="J17" s="61">
        <f t="shared" si="1"/>
        <v>13.258015356661392</v>
      </c>
      <c r="K17" s="62">
        <v>0.99829999999999997</v>
      </c>
    </row>
    <row r="18" spans="1:11" ht="17.25" x14ac:dyDescent="0.25">
      <c r="A18" s="57">
        <v>45231</v>
      </c>
      <c r="B18" s="58">
        <v>184.1</v>
      </c>
      <c r="C18" s="59">
        <v>16676</v>
      </c>
      <c r="D18" s="60">
        <v>257780</v>
      </c>
      <c r="E18" s="61">
        <f t="shared" si="0"/>
        <v>15.458143439673783</v>
      </c>
      <c r="F18" s="62">
        <v>0.99750000000000005</v>
      </c>
      <c r="G18" s="66">
        <v>208.6</v>
      </c>
      <c r="H18" s="59">
        <v>19119</v>
      </c>
      <c r="I18" s="60">
        <v>294400</v>
      </c>
      <c r="J18" s="61">
        <f t="shared" si="1"/>
        <v>15.3982948899001</v>
      </c>
      <c r="K18" s="62">
        <v>0.99550000000000005</v>
      </c>
    </row>
    <row r="19" spans="1:11" ht="18" thickBot="1" x14ac:dyDescent="0.3">
      <c r="A19" s="57">
        <v>45261</v>
      </c>
      <c r="B19" s="58">
        <v>184.1</v>
      </c>
      <c r="C19" s="59">
        <v>10720</v>
      </c>
      <c r="D19" s="60">
        <v>195260</v>
      </c>
      <c r="E19" s="61">
        <f t="shared" si="0"/>
        <v>18.214552238805972</v>
      </c>
      <c r="F19" s="62">
        <v>0.99680000000000002</v>
      </c>
      <c r="G19" s="66">
        <v>208.6</v>
      </c>
      <c r="H19" s="59">
        <v>15675</v>
      </c>
      <c r="I19" s="60">
        <v>257770</v>
      </c>
      <c r="J19" s="61">
        <f t="shared" si="1"/>
        <v>16.444657097288676</v>
      </c>
      <c r="K19" s="62">
        <v>0.99309999999999998</v>
      </c>
    </row>
    <row r="20" spans="1:11" ht="17.25" thickTop="1" thickBot="1" x14ac:dyDescent="0.3">
      <c r="A20" s="67" t="s">
        <v>11</v>
      </c>
      <c r="B20" s="68"/>
      <c r="C20" s="69">
        <f>SUM(C8:C19)</f>
        <v>264605</v>
      </c>
      <c r="D20" s="70">
        <f>SUM(D8:D19)</f>
        <v>3772489</v>
      </c>
      <c r="E20" s="71"/>
      <c r="F20" s="72"/>
      <c r="G20" s="73"/>
      <c r="H20" s="69">
        <f>SUM(H8:H19)</f>
        <v>286756</v>
      </c>
      <c r="I20" s="70">
        <f>SUM(I8:I19)</f>
        <v>4080700</v>
      </c>
      <c r="J20" s="71"/>
      <c r="K20" s="72"/>
    </row>
    <row r="21" spans="1:11" ht="17.25" thickTop="1" thickBot="1" x14ac:dyDescent="0.3">
      <c r="A21" s="74" t="s">
        <v>12</v>
      </c>
      <c r="B21" s="75">
        <f>AVERAGE(B8:B19)</f>
        <v>192.01416666666663</v>
      </c>
      <c r="C21" s="76">
        <f>AVERAGE(C8:C19)</f>
        <v>22050.416666666668</v>
      </c>
      <c r="D21" s="75">
        <f>AVERAGE(D8:D19)</f>
        <v>314374.08333333331</v>
      </c>
      <c r="E21" s="75">
        <f>AVERAGE(E8:E19)</f>
        <v>14.600011604125051</v>
      </c>
      <c r="F21" s="41"/>
      <c r="G21" s="75">
        <f>AVERAGE(G8:G20)</f>
        <v>206.42833333333328</v>
      </c>
      <c r="H21" s="77">
        <f>AVERAGE(H8:H19)</f>
        <v>23896.333333333332</v>
      </c>
      <c r="I21" s="75">
        <f>AVERAGE(I8:I19)</f>
        <v>340058.33333333331</v>
      </c>
      <c r="J21" s="75">
        <f>AVERAGE(J8:J19)</f>
        <v>14.463204007397112</v>
      </c>
      <c r="K21" s="78"/>
    </row>
    <row r="22" spans="1:11" ht="16.5" thickTop="1" x14ac:dyDescent="0.25">
      <c r="A22" s="43"/>
      <c r="B22" s="44"/>
      <c r="C22" s="45"/>
      <c r="D22" s="44"/>
      <c r="E22" s="44"/>
      <c r="F22" s="46"/>
      <c r="G22" s="44"/>
      <c r="H22" s="47"/>
      <c r="I22" s="44"/>
      <c r="J22" s="44"/>
      <c r="K22" s="48"/>
    </row>
    <row r="23" spans="1:11" x14ac:dyDescent="0.25">
      <c r="A23" s="43"/>
      <c r="B23" s="44" t="s">
        <v>17</v>
      </c>
      <c r="C23" s="45" t="s">
        <v>16</v>
      </c>
      <c r="D23" s="44" t="s">
        <v>18</v>
      </c>
      <c r="E23" s="44"/>
      <c r="F23" s="46"/>
      <c r="G23" s="44"/>
      <c r="H23" s="47"/>
      <c r="I23" s="44"/>
      <c r="J23" s="44"/>
      <c r="K23" s="48"/>
    </row>
    <row r="24" spans="1:11" x14ac:dyDescent="0.25">
      <c r="A24" s="43"/>
      <c r="B24" s="44" t="s">
        <v>19</v>
      </c>
      <c r="C24" s="45">
        <v>14.6</v>
      </c>
      <c r="D24" s="44">
        <f>AVERAGE(C24:C25)</f>
        <v>14.530000000000001</v>
      </c>
      <c r="E24" s="44"/>
      <c r="F24" s="46"/>
      <c r="G24" s="44"/>
      <c r="H24" s="47"/>
      <c r="I24" s="44"/>
      <c r="J24" s="44"/>
      <c r="K24" s="48"/>
    </row>
    <row r="25" spans="1:11" x14ac:dyDescent="0.25">
      <c r="B25" s="79" t="s">
        <v>20</v>
      </c>
      <c r="C25">
        <v>14.46</v>
      </c>
      <c r="D25" s="49"/>
      <c r="E25" s="49"/>
      <c r="I25" s="49"/>
      <c r="J25" s="49"/>
    </row>
    <row r="26" spans="1:11" x14ac:dyDescent="0.25">
      <c r="A26" s="52" t="s">
        <v>13</v>
      </c>
      <c r="B26" s="52"/>
      <c r="C26" s="52"/>
      <c r="D26" s="52"/>
      <c r="E26" s="52"/>
      <c r="F26" s="52"/>
      <c r="G26" s="53">
        <f>D20+I20</f>
        <v>7853189</v>
      </c>
      <c r="H26" s="53"/>
      <c r="I26" s="54"/>
      <c r="J26" s="54"/>
      <c r="K26" s="55"/>
    </row>
    <row r="27" spans="1:11" x14ac:dyDescent="0.25">
      <c r="A27" s="52" t="s">
        <v>14</v>
      </c>
      <c r="B27" s="52"/>
      <c r="C27" s="52"/>
      <c r="D27" s="52"/>
      <c r="E27" s="52"/>
      <c r="F27" s="52"/>
      <c r="G27" s="56">
        <f>C20+H20</f>
        <v>551361</v>
      </c>
      <c r="H27" s="56"/>
      <c r="I27" s="54"/>
      <c r="J27" s="54"/>
      <c r="K27" s="55"/>
    </row>
    <row r="28" spans="1:11" x14ac:dyDescent="0.25">
      <c r="B28" s="49"/>
      <c r="D28" s="49"/>
      <c r="E28" s="49"/>
      <c r="I28" s="49"/>
      <c r="J28" s="49"/>
    </row>
  </sheetData>
  <mergeCells count="10">
    <mergeCell ref="A26:F26"/>
    <mergeCell ref="G26:H26"/>
    <mergeCell ref="A27:F27"/>
    <mergeCell ref="G27:H27"/>
    <mergeCell ref="A2:K2"/>
    <mergeCell ref="A3:K3"/>
    <mergeCell ref="A4:K4"/>
    <mergeCell ref="A6:A7"/>
    <mergeCell ref="B6:F6"/>
    <mergeCell ref="G6:K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6"/>
  <sheetViews>
    <sheetView workbookViewId="0">
      <selection activeCell="J7" sqref="J7"/>
    </sheetView>
  </sheetViews>
  <sheetFormatPr defaultRowHeight="15.75" x14ac:dyDescent="0.25"/>
  <cols>
    <col min="2" max="2" width="10.5703125" customWidth="1"/>
    <col min="3" max="3" width="10.7109375" customWidth="1"/>
    <col min="4" max="4" width="14.85546875" customWidth="1"/>
    <col min="5" max="5" width="8.5703125" style="50" customWidth="1"/>
    <col min="6" max="6" width="10.5703125" style="51" customWidth="1"/>
    <col min="7" max="7" width="11.140625" customWidth="1"/>
    <col min="8" max="8" width="14.42578125" customWidth="1"/>
    <col min="9" max="9" width="8.140625" style="50" customWidth="1"/>
  </cols>
  <sheetData>
    <row r="2" spans="1:9" ht="33.75" x14ac:dyDescent="0.25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 ht="23.25" x14ac:dyDescent="0.35">
      <c r="A3" s="2" t="s">
        <v>1</v>
      </c>
      <c r="B3" s="2"/>
      <c r="C3" s="2"/>
      <c r="D3" s="2"/>
      <c r="E3" s="2"/>
      <c r="F3" s="2"/>
      <c r="G3" s="2"/>
      <c r="H3" s="2"/>
      <c r="I3" s="2"/>
    </row>
    <row r="4" spans="1:9" ht="18.75" x14ac:dyDescent="0.3">
      <c r="A4" s="3" t="s">
        <v>21</v>
      </c>
      <c r="B4" s="3"/>
      <c r="C4" s="3"/>
      <c r="D4" s="3"/>
      <c r="E4" s="3"/>
      <c r="F4" s="3"/>
      <c r="G4" s="3"/>
      <c r="H4" s="3"/>
      <c r="I4" s="3"/>
    </row>
    <row r="5" spans="1:9" ht="19.5" thickBot="1" x14ac:dyDescent="0.35">
      <c r="A5" s="4"/>
      <c r="B5" s="5"/>
      <c r="C5" s="4"/>
      <c r="D5" s="5"/>
      <c r="E5" s="6"/>
      <c r="F5" s="4"/>
      <c r="G5" s="4"/>
      <c r="H5" s="5"/>
      <c r="I5" s="6"/>
    </row>
    <row r="6" spans="1:9" ht="18" thickTop="1" x14ac:dyDescent="0.25">
      <c r="A6" s="7" t="s">
        <v>3</v>
      </c>
      <c r="B6" s="8" t="s">
        <v>4</v>
      </c>
      <c r="C6" s="8"/>
      <c r="D6" s="8"/>
      <c r="E6" s="9"/>
      <c r="F6" s="10" t="s">
        <v>5</v>
      </c>
      <c r="G6" s="11"/>
      <c r="H6" s="11"/>
      <c r="I6" s="13"/>
    </row>
    <row r="7" spans="1:9" ht="42.75" x14ac:dyDescent="0.25">
      <c r="A7" s="14"/>
      <c r="B7" s="15" t="s">
        <v>6</v>
      </c>
      <c r="C7" s="16" t="s">
        <v>7</v>
      </c>
      <c r="D7" s="17" t="s">
        <v>8</v>
      </c>
      <c r="E7" s="19" t="s">
        <v>10</v>
      </c>
      <c r="F7" s="20" t="s">
        <v>6</v>
      </c>
      <c r="G7" s="16" t="s">
        <v>7</v>
      </c>
      <c r="H7" s="17" t="s">
        <v>8</v>
      </c>
      <c r="I7" s="19" t="s">
        <v>10</v>
      </c>
    </row>
    <row r="8" spans="1:9" ht="17.25" x14ac:dyDescent="0.25">
      <c r="A8" s="57">
        <v>45292</v>
      </c>
      <c r="B8" s="58">
        <v>184.1</v>
      </c>
      <c r="C8" s="59">
        <v>17745</v>
      </c>
      <c r="D8" s="60">
        <v>269120</v>
      </c>
      <c r="E8" s="62">
        <v>0.98919999999999997</v>
      </c>
      <c r="F8" s="58">
        <v>208.6</v>
      </c>
      <c r="G8" s="59">
        <v>18907</v>
      </c>
      <c r="H8" s="60">
        <v>292130</v>
      </c>
      <c r="I8" s="62">
        <v>0.99329999999999996</v>
      </c>
    </row>
    <row r="9" spans="1:9" ht="17.25" x14ac:dyDescent="0.25">
      <c r="A9" s="57">
        <v>45323</v>
      </c>
      <c r="B9" s="58">
        <v>184.1</v>
      </c>
      <c r="C9" s="59">
        <v>20855</v>
      </c>
      <c r="D9" s="60">
        <v>301090</v>
      </c>
      <c r="E9" s="62">
        <v>0.99109999999999998</v>
      </c>
      <c r="F9" s="58">
        <v>208.6</v>
      </c>
      <c r="G9" s="59">
        <v>21082</v>
      </c>
      <c r="H9" s="60">
        <v>314950</v>
      </c>
      <c r="I9" s="62">
        <v>0.99570000000000003</v>
      </c>
    </row>
    <row r="10" spans="1:9" ht="17.25" x14ac:dyDescent="0.25">
      <c r="A10" s="57">
        <v>45352</v>
      </c>
      <c r="B10" s="64">
        <v>197.71</v>
      </c>
      <c r="C10" s="59">
        <v>25350</v>
      </c>
      <c r="D10" s="60">
        <v>373550</v>
      </c>
      <c r="E10" s="62">
        <v>0.99639999999999995</v>
      </c>
      <c r="F10" s="58">
        <v>208.6</v>
      </c>
      <c r="G10" s="59">
        <v>25129</v>
      </c>
      <c r="H10" s="60">
        <v>375660</v>
      </c>
      <c r="I10" s="62">
        <v>0.99639999999999995</v>
      </c>
    </row>
    <row r="11" spans="1:9" ht="17.25" x14ac:dyDescent="0.25">
      <c r="A11" s="57">
        <v>45383</v>
      </c>
      <c r="B11" s="64">
        <v>222.4</v>
      </c>
      <c r="C11" s="59">
        <v>28347</v>
      </c>
      <c r="D11" s="60">
        <v>448120</v>
      </c>
      <c r="E11" s="62">
        <v>0.99880000000000002</v>
      </c>
      <c r="F11" s="80">
        <v>223.5</v>
      </c>
      <c r="G11" s="59">
        <v>28070</v>
      </c>
      <c r="H11" s="60">
        <v>445040</v>
      </c>
      <c r="I11" s="62">
        <v>0.99719999999999998</v>
      </c>
    </row>
    <row r="12" spans="1:9" ht="17.25" x14ac:dyDescent="0.25">
      <c r="A12" s="57">
        <v>45413</v>
      </c>
      <c r="B12" s="58">
        <v>197.25</v>
      </c>
      <c r="C12" s="59">
        <v>19489</v>
      </c>
      <c r="D12" s="60">
        <v>426380</v>
      </c>
      <c r="E12" s="62">
        <v>0.99890000000000001</v>
      </c>
      <c r="F12" s="80">
        <v>223.5</v>
      </c>
      <c r="G12" s="59">
        <v>24699</v>
      </c>
      <c r="H12" s="60">
        <v>426380</v>
      </c>
      <c r="I12" s="62">
        <v>0.99550000000000005</v>
      </c>
    </row>
    <row r="13" spans="1:9" ht="17.25" x14ac:dyDescent="0.25">
      <c r="A13" s="57">
        <v>45444</v>
      </c>
      <c r="B13" s="58">
        <v>197.25</v>
      </c>
      <c r="C13" s="59">
        <v>16910</v>
      </c>
      <c r="D13" s="60">
        <v>313820</v>
      </c>
      <c r="E13" s="62">
        <v>0.99939999999999996</v>
      </c>
      <c r="F13" s="80">
        <v>223.5</v>
      </c>
      <c r="G13" s="59">
        <v>20215</v>
      </c>
      <c r="H13" s="60">
        <v>368950</v>
      </c>
      <c r="I13" s="62">
        <v>0.99470000000000003</v>
      </c>
    </row>
    <row r="14" spans="1:9" ht="17.25" x14ac:dyDescent="0.25">
      <c r="A14" s="57">
        <v>45474</v>
      </c>
      <c r="B14" s="58">
        <v>197.25</v>
      </c>
      <c r="C14" s="59">
        <v>20449</v>
      </c>
      <c r="D14" s="60">
        <v>359980</v>
      </c>
      <c r="E14" s="62">
        <v>0.99729999999999996</v>
      </c>
      <c r="F14" s="80">
        <v>223.5</v>
      </c>
      <c r="G14" s="59">
        <v>20960</v>
      </c>
      <c r="H14" s="60">
        <v>378630</v>
      </c>
      <c r="I14" s="62">
        <v>0.99219999999999997</v>
      </c>
    </row>
    <row r="15" spans="1:9" ht="17.25" x14ac:dyDescent="0.25">
      <c r="A15" s="57">
        <v>45505</v>
      </c>
      <c r="B15" s="58">
        <v>197.25</v>
      </c>
      <c r="C15" s="59">
        <v>28366</v>
      </c>
      <c r="D15" s="60">
        <v>462420</v>
      </c>
      <c r="E15" s="62">
        <v>0.99719999999999998</v>
      </c>
      <c r="F15" s="80">
        <v>223.5</v>
      </c>
      <c r="G15" s="59">
        <v>26620</v>
      </c>
      <c r="H15" s="60">
        <v>451950</v>
      </c>
      <c r="I15" s="62">
        <v>0.99560000000000004</v>
      </c>
    </row>
    <row r="16" spans="1:9" ht="17.25" x14ac:dyDescent="0.25">
      <c r="A16" s="57">
        <v>45536</v>
      </c>
      <c r="B16" s="58">
        <v>201.1</v>
      </c>
      <c r="C16" s="59">
        <v>22089</v>
      </c>
      <c r="D16" s="60">
        <v>388550</v>
      </c>
      <c r="E16" s="62">
        <v>0.99619999999999997</v>
      </c>
      <c r="F16" s="80">
        <v>223.5</v>
      </c>
      <c r="G16" s="59">
        <v>22796</v>
      </c>
      <c r="H16" s="60">
        <v>408230</v>
      </c>
      <c r="I16" s="62">
        <v>0.99439999999999995</v>
      </c>
    </row>
    <row r="17" spans="1:9" ht="17.25" x14ac:dyDescent="0.25">
      <c r="A17" s="57">
        <v>45566</v>
      </c>
      <c r="B17" s="58">
        <v>220.22</v>
      </c>
      <c r="C17" s="59">
        <v>32613</v>
      </c>
      <c r="D17" s="60">
        <v>536430</v>
      </c>
      <c r="E17" s="62">
        <v>0.99739999999999995</v>
      </c>
      <c r="F17" s="80">
        <v>223.5</v>
      </c>
      <c r="G17" s="59">
        <v>31926</v>
      </c>
      <c r="H17" s="60">
        <v>528450</v>
      </c>
      <c r="I17" s="62">
        <v>0.99729999999999996</v>
      </c>
    </row>
    <row r="18" spans="1:9" ht="17.25" x14ac:dyDescent="0.25">
      <c r="A18" s="57">
        <v>45597</v>
      </c>
      <c r="B18" s="58">
        <v>197.25</v>
      </c>
      <c r="C18" s="59">
        <v>16424</v>
      </c>
      <c r="D18" s="60">
        <v>312020</v>
      </c>
      <c r="E18" s="62">
        <v>0.99790000000000001</v>
      </c>
      <c r="F18" s="81">
        <v>223.5</v>
      </c>
      <c r="G18" s="59">
        <v>18106</v>
      </c>
      <c r="H18" s="60">
        <v>346250</v>
      </c>
      <c r="I18" s="62">
        <v>0.99250000000000005</v>
      </c>
    </row>
    <row r="19" spans="1:9" ht="18" thickBot="1" x14ac:dyDescent="0.3">
      <c r="A19" s="57">
        <v>45627</v>
      </c>
      <c r="B19" s="58">
        <v>197.25</v>
      </c>
      <c r="C19" s="59">
        <v>11795</v>
      </c>
      <c r="D19" s="60">
        <v>250430</v>
      </c>
      <c r="E19" s="62">
        <v>0.99509999999999998</v>
      </c>
      <c r="F19" s="82">
        <v>223.5</v>
      </c>
      <c r="G19" s="59">
        <v>14108</v>
      </c>
      <c r="H19" s="60">
        <v>293320</v>
      </c>
      <c r="I19" s="62">
        <v>0.98529999999999995</v>
      </c>
    </row>
    <row r="20" spans="1:9" ht="17.25" thickTop="1" thickBot="1" x14ac:dyDescent="0.3">
      <c r="A20" s="67" t="s">
        <v>11</v>
      </c>
      <c r="B20" s="68"/>
      <c r="C20" s="69">
        <f>SUM(C8:C19)</f>
        <v>260432</v>
      </c>
      <c r="D20" s="70">
        <f>SUM(D8:D19)</f>
        <v>4441910</v>
      </c>
      <c r="E20" s="72"/>
      <c r="F20" s="73"/>
      <c r="G20" s="69">
        <f>SUM(G8:G19)</f>
        <v>272618</v>
      </c>
      <c r="H20" s="70">
        <f>SUM(H8:H19)</f>
        <v>4629940</v>
      </c>
      <c r="I20" s="72"/>
    </row>
    <row r="21" spans="1:9" ht="17.25" thickTop="1" thickBot="1" x14ac:dyDescent="0.3">
      <c r="A21" s="74" t="s">
        <v>12</v>
      </c>
      <c r="B21" s="75">
        <f>AVERAGE(B8:B19)</f>
        <v>199.42750000000001</v>
      </c>
      <c r="C21" s="76">
        <f>AVERAGE(C8:C19)</f>
        <v>21702.666666666668</v>
      </c>
      <c r="D21" s="75">
        <f>AVERAGE(D8:D19)</f>
        <v>370159.16666666669</v>
      </c>
      <c r="E21" s="75"/>
      <c r="F21" s="75">
        <f>AVERAGE(F8:F20)</f>
        <v>219.77500000000001</v>
      </c>
      <c r="G21" s="77">
        <f>AVERAGE(G8:G19)</f>
        <v>22718.166666666668</v>
      </c>
      <c r="H21" s="75">
        <f>AVERAGE(H8:H19)</f>
        <v>385828.33333333331</v>
      </c>
      <c r="I21" s="78"/>
    </row>
    <row r="22" spans="1:9" ht="16.5" thickTop="1" x14ac:dyDescent="0.25">
      <c r="A22" s="43"/>
      <c r="B22" s="44"/>
      <c r="C22" s="45"/>
      <c r="D22" s="44"/>
      <c r="E22" s="46"/>
      <c r="F22" s="44"/>
      <c r="G22" s="47"/>
      <c r="H22" s="44"/>
      <c r="I22" s="48"/>
    </row>
    <row r="23" spans="1:9" x14ac:dyDescent="0.25">
      <c r="B23" s="49"/>
      <c r="D23" s="49"/>
      <c r="H23" s="49"/>
    </row>
    <row r="24" spans="1:9" x14ac:dyDescent="0.25">
      <c r="A24" s="52" t="s">
        <v>22</v>
      </c>
      <c r="B24" s="52"/>
      <c r="C24" s="52"/>
      <c r="D24" s="52"/>
      <c r="E24" s="52"/>
      <c r="F24" s="83">
        <f>D20+H20</f>
        <v>9071850</v>
      </c>
      <c r="G24" s="83"/>
      <c r="H24" s="54"/>
      <c r="I24" s="55"/>
    </row>
    <row r="25" spans="1:9" x14ac:dyDescent="0.25">
      <c r="A25" s="52" t="s">
        <v>23</v>
      </c>
      <c r="B25" s="52"/>
      <c r="C25" s="52"/>
      <c r="D25" s="52"/>
      <c r="E25" s="52"/>
      <c r="F25" s="52">
        <f>C20+G20</f>
        <v>533050</v>
      </c>
      <c r="G25" s="52"/>
      <c r="H25" s="54"/>
      <c r="I25" s="55"/>
    </row>
    <row r="26" spans="1:9" x14ac:dyDescent="0.25">
      <c r="B26" s="49"/>
      <c r="D26" s="49"/>
      <c r="H26" s="49"/>
    </row>
  </sheetData>
  <mergeCells count="10">
    <mergeCell ref="A24:E24"/>
    <mergeCell ref="F24:G24"/>
    <mergeCell ref="A25:E25"/>
    <mergeCell ref="F25:G25"/>
    <mergeCell ref="A2:I2"/>
    <mergeCell ref="A3:I3"/>
    <mergeCell ref="A4:I4"/>
    <mergeCell ref="A6:A7"/>
    <mergeCell ref="B6:E6"/>
    <mergeCell ref="F6:I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6"/>
  <sheetViews>
    <sheetView workbookViewId="0">
      <selection activeCell="N13" sqref="N13"/>
    </sheetView>
  </sheetViews>
  <sheetFormatPr defaultRowHeight="15.75" x14ac:dyDescent="0.25"/>
  <cols>
    <col min="2" max="2" width="10.5703125" customWidth="1"/>
    <col min="3" max="3" width="10.7109375" customWidth="1"/>
    <col min="4" max="4" width="14.85546875" customWidth="1"/>
    <col min="5" max="5" width="8.5703125" style="50" customWidth="1"/>
    <col min="6" max="6" width="10.5703125" style="51" customWidth="1"/>
    <col min="7" max="7" width="11.140625" customWidth="1"/>
    <col min="8" max="8" width="15" bestFit="1" customWidth="1"/>
    <col min="9" max="9" width="8.140625" style="50" customWidth="1"/>
  </cols>
  <sheetData>
    <row r="2" spans="1:9" ht="33.75" x14ac:dyDescent="0.25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 ht="23.25" x14ac:dyDescent="0.35">
      <c r="A3" s="2" t="s">
        <v>1</v>
      </c>
      <c r="B3" s="2"/>
      <c r="C3" s="2"/>
      <c r="D3" s="2"/>
      <c r="E3" s="2"/>
      <c r="F3" s="2"/>
      <c r="G3" s="2"/>
      <c r="H3" s="2"/>
      <c r="I3" s="2"/>
    </row>
    <row r="4" spans="1:9" ht="18.75" x14ac:dyDescent="0.3">
      <c r="A4" s="3" t="s">
        <v>24</v>
      </c>
      <c r="B4" s="3"/>
      <c r="C4" s="3"/>
      <c r="D4" s="3"/>
      <c r="E4" s="3"/>
      <c r="F4" s="3"/>
      <c r="G4" s="3"/>
      <c r="H4" s="3"/>
      <c r="I4" s="3"/>
    </row>
    <row r="5" spans="1:9" ht="19.5" thickBot="1" x14ac:dyDescent="0.35">
      <c r="A5" s="4"/>
      <c r="B5" s="5"/>
      <c r="C5" s="4"/>
      <c r="D5" s="5"/>
      <c r="E5" s="6"/>
      <c r="F5" s="4"/>
      <c r="G5" s="4"/>
      <c r="H5" s="5"/>
      <c r="I5" s="6"/>
    </row>
    <row r="6" spans="1:9" ht="18" thickTop="1" x14ac:dyDescent="0.25">
      <c r="A6" s="7" t="s">
        <v>3</v>
      </c>
      <c r="B6" s="8" t="s">
        <v>4</v>
      </c>
      <c r="C6" s="8"/>
      <c r="D6" s="8"/>
      <c r="E6" s="9"/>
      <c r="F6" s="10" t="s">
        <v>5</v>
      </c>
      <c r="G6" s="11"/>
      <c r="H6" s="11"/>
      <c r="I6" s="13"/>
    </row>
    <row r="7" spans="1:9" ht="42.75" x14ac:dyDescent="0.25">
      <c r="A7" s="14"/>
      <c r="B7" s="15" t="s">
        <v>6</v>
      </c>
      <c r="C7" s="16" t="s">
        <v>7</v>
      </c>
      <c r="D7" s="17" t="s">
        <v>8</v>
      </c>
      <c r="E7" s="19" t="s">
        <v>10</v>
      </c>
      <c r="F7" s="20" t="s">
        <v>6</v>
      </c>
      <c r="G7" s="16" t="s">
        <v>7</v>
      </c>
      <c r="H7" s="17" t="s">
        <v>8</v>
      </c>
      <c r="I7" s="19" t="s">
        <v>10</v>
      </c>
    </row>
    <row r="8" spans="1:9" ht="17.25" x14ac:dyDescent="0.25">
      <c r="A8" s="84">
        <v>45658</v>
      </c>
      <c r="B8" s="58">
        <v>197.25</v>
      </c>
      <c r="C8" s="59">
        <v>16534</v>
      </c>
      <c r="D8" s="60">
        <v>312830</v>
      </c>
      <c r="E8" s="62">
        <v>0.99409999999999998</v>
      </c>
      <c r="F8" s="58">
        <v>223.5</v>
      </c>
      <c r="G8" s="59">
        <v>15912</v>
      </c>
      <c r="H8" s="60">
        <v>323230</v>
      </c>
      <c r="I8" s="62">
        <v>0.98609999999999998</v>
      </c>
    </row>
    <row r="9" spans="1:9" ht="17.25" x14ac:dyDescent="0.25">
      <c r="A9" s="84">
        <v>45689</v>
      </c>
      <c r="B9" s="58">
        <v>197.25</v>
      </c>
      <c r="C9" s="59">
        <v>23657</v>
      </c>
      <c r="D9" s="60">
        <v>406660</v>
      </c>
      <c r="E9" s="62">
        <v>0.99280000000000002</v>
      </c>
      <c r="F9" s="63">
        <v>223.5</v>
      </c>
      <c r="G9" s="59">
        <v>20006</v>
      </c>
      <c r="H9" s="60">
        <v>370940</v>
      </c>
      <c r="I9" s="62">
        <v>0.99080000000000001</v>
      </c>
    </row>
    <row r="10" spans="1:9" ht="17.25" x14ac:dyDescent="0.25">
      <c r="A10" s="84">
        <v>45717</v>
      </c>
      <c r="B10" s="64">
        <v>216.35</v>
      </c>
      <c r="C10" s="59">
        <v>31279</v>
      </c>
      <c r="D10" s="60">
        <v>516900</v>
      </c>
      <c r="E10" s="62">
        <v>0.99629999999999996</v>
      </c>
      <c r="F10" s="58">
        <v>223.5</v>
      </c>
      <c r="G10" s="59">
        <v>29146</v>
      </c>
      <c r="H10" s="60">
        <v>491420</v>
      </c>
      <c r="I10" s="62">
        <v>0.99709999999999999</v>
      </c>
    </row>
    <row r="11" spans="1:9" ht="17.25" x14ac:dyDescent="0.25">
      <c r="A11" s="84">
        <v>45748</v>
      </c>
      <c r="B11" s="64">
        <v>259.48</v>
      </c>
      <c r="C11" s="59">
        <v>34673</v>
      </c>
      <c r="D11" s="60">
        <v>408700</v>
      </c>
      <c r="E11" s="62">
        <v>0.99760000000000004</v>
      </c>
      <c r="F11" s="58">
        <v>223.5</v>
      </c>
      <c r="G11" s="59">
        <v>31576</v>
      </c>
      <c r="H11" s="60">
        <v>366710</v>
      </c>
      <c r="I11" s="62">
        <v>0.99690000000000001</v>
      </c>
    </row>
    <row r="12" spans="1:9" ht="17.25" x14ac:dyDescent="0.25">
      <c r="A12" s="84">
        <v>45778</v>
      </c>
      <c r="B12" s="58">
        <v>197.25</v>
      </c>
      <c r="C12" s="59">
        <v>20014</v>
      </c>
      <c r="D12" s="60">
        <v>259450</v>
      </c>
      <c r="E12" s="62">
        <v>0.99760000000000004</v>
      </c>
      <c r="F12" s="58">
        <v>223.5</v>
      </c>
      <c r="G12" s="59">
        <v>19450</v>
      </c>
      <c r="H12" s="60">
        <v>268010</v>
      </c>
      <c r="I12" s="62">
        <v>0.99009999999999998</v>
      </c>
    </row>
    <row r="13" spans="1:9" ht="17.25" x14ac:dyDescent="0.25">
      <c r="A13" s="84">
        <v>45809</v>
      </c>
      <c r="B13" s="58">
        <v>197.25</v>
      </c>
      <c r="C13" s="59">
        <v>13933</v>
      </c>
      <c r="D13" s="60">
        <v>215280</v>
      </c>
      <c r="E13" s="62">
        <v>0.99729999999999996</v>
      </c>
      <c r="F13" s="58">
        <v>223.5</v>
      </c>
      <c r="G13" s="59">
        <v>16895</v>
      </c>
      <c r="H13" s="60">
        <v>254950</v>
      </c>
      <c r="I13" s="62">
        <v>0.98850000000000005</v>
      </c>
    </row>
    <row r="14" spans="1:9" ht="17.25" x14ac:dyDescent="0.25">
      <c r="A14" s="84">
        <v>45839</v>
      </c>
      <c r="B14" s="58">
        <v>197.25</v>
      </c>
      <c r="C14" s="59">
        <v>19587</v>
      </c>
      <c r="D14" s="60">
        <v>249990</v>
      </c>
      <c r="E14" s="62">
        <v>0.99219999999999997</v>
      </c>
      <c r="F14" s="58">
        <v>223.5</v>
      </c>
      <c r="G14" s="59">
        <v>19516</v>
      </c>
      <c r="H14" s="60">
        <v>267320</v>
      </c>
      <c r="I14" s="62">
        <v>0.98499999999999999</v>
      </c>
    </row>
    <row r="15" spans="1:9" ht="17.25" x14ac:dyDescent="0.25">
      <c r="A15" s="84">
        <v>45870</v>
      </c>
      <c r="B15" s="58">
        <v>197.25</v>
      </c>
      <c r="C15" s="59">
        <v>19927</v>
      </c>
      <c r="D15" s="60">
        <v>261820</v>
      </c>
      <c r="E15" s="62">
        <v>0.98980000000000001</v>
      </c>
      <c r="F15" s="58">
        <v>223.5</v>
      </c>
      <c r="G15" s="59">
        <v>18620</v>
      </c>
      <c r="H15" s="60">
        <v>265860</v>
      </c>
      <c r="I15" s="62">
        <v>0.98799999999999999</v>
      </c>
    </row>
    <row r="16" spans="1:9" ht="17.25" x14ac:dyDescent="0.25">
      <c r="A16" s="84">
        <v>45901</v>
      </c>
      <c r="B16" s="58">
        <v>197.25</v>
      </c>
      <c r="C16" s="59">
        <v>24100</v>
      </c>
      <c r="D16" s="60">
        <v>311120</v>
      </c>
      <c r="E16" s="62">
        <v>0.98780000000000001</v>
      </c>
      <c r="F16" s="58">
        <v>223.5</v>
      </c>
      <c r="G16" s="59">
        <v>21064</v>
      </c>
      <c r="H16" s="60">
        <v>298960</v>
      </c>
      <c r="I16" s="62">
        <v>0.98640000000000005</v>
      </c>
    </row>
    <row r="17" spans="1:9" ht="17.25" x14ac:dyDescent="0.25">
      <c r="A17" s="84">
        <v>45931</v>
      </c>
      <c r="B17" s="58">
        <v>226.76</v>
      </c>
      <c r="C17" s="59">
        <v>27519</v>
      </c>
      <c r="D17" s="60">
        <v>336630</v>
      </c>
      <c r="E17" s="62">
        <v>0.99350000000000005</v>
      </c>
      <c r="F17" s="58">
        <v>223.5</v>
      </c>
      <c r="G17" s="59">
        <v>24024</v>
      </c>
      <c r="H17" s="60">
        <v>311320</v>
      </c>
      <c r="I17" s="62">
        <v>0.99260000000000004</v>
      </c>
    </row>
    <row r="18" spans="1:9" ht="17.25" x14ac:dyDescent="0.25">
      <c r="A18" s="84">
        <v>45962</v>
      </c>
      <c r="B18" s="58">
        <v>197.25</v>
      </c>
      <c r="C18" s="59">
        <v>19419</v>
      </c>
      <c r="D18" s="60">
        <v>257860</v>
      </c>
      <c r="E18" s="62">
        <v>0.99009999999999998</v>
      </c>
      <c r="F18" s="58">
        <v>223.5</v>
      </c>
      <c r="G18" s="59">
        <v>18921</v>
      </c>
      <c r="H18" s="60">
        <v>269920</v>
      </c>
      <c r="I18" s="62">
        <v>0.98850000000000005</v>
      </c>
    </row>
    <row r="19" spans="1:9" ht="18" thickBot="1" x14ac:dyDescent="0.3">
      <c r="A19" s="84">
        <v>45992</v>
      </c>
      <c r="B19" s="58">
        <v>197.25</v>
      </c>
      <c r="C19" s="59">
        <v>11439</v>
      </c>
      <c r="D19" s="60">
        <v>186880</v>
      </c>
      <c r="E19" s="62">
        <v>0.98880000000000001</v>
      </c>
      <c r="F19" s="58">
        <v>223.5</v>
      </c>
      <c r="G19" s="59">
        <v>13757</v>
      </c>
      <c r="H19" s="60">
        <v>220280</v>
      </c>
      <c r="I19" s="62">
        <v>0.98319999999999996</v>
      </c>
    </row>
    <row r="20" spans="1:9" ht="17.25" thickTop="1" thickBot="1" x14ac:dyDescent="0.3">
      <c r="A20" s="67" t="s">
        <v>11</v>
      </c>
      <c r="B20" s="68"/>
      <c r="C20" s="69">
        <f>SUM(C8:C19)</f>
        <v>262081</v>
      </c>
      <c r="D20" s="70">
        <f>SUM(D8:D19)</f>
        <v>3724120</v>
      </c>
      <c r="E20" s="72"/>
      <c r="F20" s="73"/>
      <c r="G20" s="69">
        <f>SUM(G8:G19)</f>
        <v>248887</v>
      </c>
      <c r="H20" s="70">
        <f>SUM(H8:H19)</f>
        <v>3708920</v>
      </c>
      <c r="I20" s="72"/>
    </row>
    <row r="21" spans="1:9" ht="17.25" thickTop="1" thickBot="1" x14ac:dyDescent="0.3">
      <c r="A21" s="74" t="s">
        <v>12</v>
      </c>
      <c r="B21" s="75">
        <f>AVERAGE(B8:B19)</f>
        <v>206.48666666666668</v>
      </c>
      <c r="C21" s="76">
        <f>AVERAGE(C8:C19)</f>
        <v>21840.083333333332</v>
      </c>
      <c r="D21" s="75">
        <f>AVERAGE(D8:D19)</f>
        <v>310343.33333333331</v>
      </c>
      <c r="E21" s="41"/>
      <c r="F21" s="75">
        <f>AVERAGE(F8:F20)</f>
        <v>223.5</v>
      </c>
      <c r="G21" s="77">
        <f>AVERAGE(G8:G19)</f>
        <v>20740.583333333332</v>
      </c>
      <c r="H21" s="75">
        <f>AVERAGE(H8:H19)</f>
        <v>309076.66666666669</v>
      </c>
      <c r="I21" s="78"/>
    </row>
    <row r="22" spans="1:9" ht="16.5" thickTop="1" x14ac:dyDescent="0.25">
      <c r="A22" s="43"/>
      <c r="B22" s="44"/>
      <c r="C22" s="45"/>
      <c r="D22" s="44"/>
      <c r="E22" s="46"/>
      <c r="F22" s="44"/>
      <c r="G22" s="47"/>
      <c r="H22" s="44"/>
      <c r="I22" s="48"/>
    </row>
    <row r="23" spans="1:9" x14ac:dyDescent="0.25">
      <c r="B23" s="49"/>
      <c r="D23" s="49"/>
      <c r="H23" s="49"/>
    </row>
    <row r="24" spans="1:9" x14ac:dyDescent="0.25">
      <c r="A24" s="52" t="s">
        <v>25</v>
      </c>
      <c r="B24" s="52"/>
      <c r="C24" s="52"/>
      <c r="D24" s="52"/>
      <c r="E24" s="52"/>
      <c r="F24" s="53">
        <f>D20+H20</f>
        <v>7433040</v>
      </c>
      <c r="G24" s="53"/>
      <c r="H24" s="54"/>
      <c r="I24" s="55"/>
    </row>
    <row r="25" spans="1:9" x14ac:dyDescent="0.25">
      <c r="A25" s="52" t="s">
        <v>26</v>
      </c>
      <c r="B25" s="52"/>
      <c r="C25" s="52"/>
      <c r="D25" s="52"/>
      <c r="E25" s="52"/>
      <c r="F25" s="56">
        <f>C20+G20</f>
        <v>510968</v>
      </c>
      <c r="G25" s="56"/>
      <c r="H25" s="54"/>
      <c r="I25" s="55"/>
    </row>
    <row r="26" spans="1:9" x14ac:dyDescent="0.25">
      <c r="B26" s="49"/>
      <c r="D26" s="49"/>
      <c r="H26" s="49"/>
    </row>
  </sheetData>
  <mergeCells count="10">
    <mergeCell ref="A24:E24"/>
    <mergeCell ref="F24:G24"/>
    <mergeCell ref="A25:E25"/>
    <mergeCell ref="F25:G25"/>
    <mergeCell ref="A2:I2"/>
    <mergeCell ref="A3:I3"/>
    <mergeCell ref="A4:I4"/>
    <mergeCell ref="A6:A7"/>
    <mergeCell ref="B6:E6"/>
    <mergeCell ref="F6:I6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6"/>
  <sheetViews>
    <sheetView tabSelected="1" workbookViewId="0">
      <selection activeCell="D16" sqref="D16:E16"/>
    </sheetView>
  </sheetViews>
  <sheetFormatPr defaultRowHeight="15.75" x14ac:dyDescent="0.25"/>
  <cols>
    <col min="1" max="1" width="6.85546875" style="85" customWidth="1"/>
    <col min="2" max="3" width="11" customWidth="1"/>
    <col min="4" max="4" width="15.7109375" customWidth="1"/>
    <col min="5" max="5" width="11" style="50" customWidth="1"/>
    <col min="6" max="6" width="11" style="51" customWidth="1"/>
    <col min="7" max="7" width="11" customWidth="1"/>
    <col min="8" max="8" width="15.85546875" customWidth="1"/>
    <col min="9" max="9" width="11" style="50" customWidth="1"/>
    <col min="10" max="10" width="11" customWidth="1"/>
    <col min="11" max="11" width="11" style="49" customWidth="1"/>
  </cols>
  <sheetData>
    <row r="2" spans="1:11" ht="33.75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3.25" x14ac:dyDescent="0.3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8.75" x14ac:dyDescent="0.3">
      <c r="A4" s="3" t="s">
        <v>27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9.5" thickBot="1" x14ac:dyDescent="0.35">
      <c r="A5" s="86"/>
      <c r="B5" s="5"/>
      <c r="C5" s="4"/>
      <c r="D5" s="5"/>
      <c r="E5" s="6"/>
      <c r="F5" s="4"/>
      <c r="G5" s="4"/>
      <c r="H5" s="5"/>
      <c r="I5" s="6"/>
    </row>
    <row r="6" spans="1:11" ht="17.25" x14ac:dyDescent="0.25">
      <c r="A6" s="87" t="s">
        <v>3</v>
      </c>
      <c r="B6" s="88" t="s">
        <v>4</v>
      </c>
      <c r="C6" s="88"/>
      <c r="D6" s="88"/>
      <c r="E6" s="89"/>
      <c r="F6" s="90" t="s">
        <v>5</v>
      </c>
      <c r="G6" s="91"/>
      <c r="H6" s="91"/>
      <c r="I6" s="92"/>
      <c r="J6" s="93" t="s">
        <v>28</v>
      </c>
      <c r="K6" s="94"/>
    </row>
    <row r="7" spans="1:11" ht="57" x14ac:dyDescent="0.25">
      <c r="A7" s="95"/>
      <c r="B7" s="15" t="s">
        <v>6</v>
      </c>
      <c r="C7" s="16" t="s">
        <v>7</v>
      </c>
      <c r="D7" s="17" t="s">
        <v>8</v>
      </c>
      <c r="E7" s="19" t="s">
        <v>10</v>
      </c>
      <c r="F7" s="20" t="s">
        <v>6</v>
      </c>
      <c r="G7" s="16" t="s">
        <v>7</v>
      </c>
      <c r="H7" s="17" t="s">
        <v>8</v>
      </c>
      <c r="I7" s="96" t="s">
        <v>10</v>
      </c>
      <c r="J7" s="97" t="s">
        <v>7</v>
      </c>
      <c r="K7" s="98" t="s">
        <v>8</v>
      </c>
    </row>
    <row r="8" spans="1:11" s="107" customFormat="1" ht="15" x14ac:dyDescent="0.25">
      <c r="A8" s="99">
        <v>46023</v>
      </c>
      <c r="B8" s="100">
        <v>197.25</v>
      </c>
      <c r="C8" s="101">
        <v>15170</v>
      </c>
      <c r="D8" s="102">
        <v>213670</v>
      </c>
      <c r="E8" s="103">
        <v>0.98460000000000003</v>
      </c>
      <c r="F8" s="100">
        <v>223.5</v>
      </c>
      <c r="G8" s="101">
        <v>15697</v>
      </c>
      <c r="H8" s="102">
        <v>232980</v>
      </c>
      <c r="I8" s="104">
        <v>0.98570000000000002</v>
      </c>
      <c r="J8" s="105">
        <v>15</v>
      </c>
      <c r="K8" s="106">
        <v>730</v>
      </c>
    </row>
    <row r="9" spans="1:11" ht="15" x14ac:dyDescent="0.25">
      <c r="A9" s="108">
        <v>46054</v>
      </c>
      <c r="B9" s="100">
        <v>211.99</v>
      </c>
      <c r="C9" s="101">
        <v>28493</v>
      </c>
      <c r="D9" s="102">
        <v>332140</v>
      </c>
      <c r="E9" s="103">
        <v>0.99009999999999998</v>
      </c>
      <c r="F9" s="100">
        <v>223.5</v>
      </c>
      <c r="G9" s="101">
        <v>23649</v>
      </c>
      <c r="H9" s="102">
        <v>302200</v>
      </c>
      <c r="I9" s="104">
        <v>0.99039999999999995</v>
      </c>
      <c r="J9" s="105">
        <v>17</v>
      </c>
      <c r="K9" s="106">
        <v>750</v>
      </c>
    </row>
    <row r="10" spans="1:11" ht="15" x14ac:dyDescent="0.25">
      <c r="A10" s="108">
        <v>46082</v>
      </c>
      <c r="B10" s="100">
        <v>264.33</v>
      </c>
      <c r="C10" s="101">
        <v>30320</v>
      </c>
      <c r="D10" s="102">
        <v>360920</v>
      </c>
      <c r="E10" s="103">
        <v>0.99350000000000005</v>
      </c>
      <c r="F10" s="100">
        <v>223.5</v>
      </c>
      <c r="G10" s="101">
        <v>26890</v>
      </c>
      <c r="H10" s="102">
        <v>318230</v>
      </c>
      <c r="I10" s="104">
        <v>0.99350000000000005</v>
      </c>
      <c r="J10" s="105">
        <v>19</v>
      </c>
      <c r="K10" s="106">
        <v>780</v>
      </c>
    </row>
    <row r="11" spans="1:11" ht="15" x14ac:dyDescent="0.25">
      <c r="A11" s="108">
        <v>46113</v>
      </c>
      <c r="B11" s="100">
        <v>292.72000000000003</v>
      </c>
      <c r="C11" s="101">
        <v>40407</v>
      </c>
      <c r="D11" s="102">
        <v>437290</v>
      </c>
      <c r="E11" s="103">
        <v>0.99609999999999999</v>
      </c>
      <c r="F11" s="100">
        <v>237.42</v>
      </c>
      <c r="G11" s="101">
        <v>36284</v>
      </c>
      <c r="H11" s="102">
        <v>382480</v>
      </c>
      <c r="I11" s="104">
        <v>0.995</v>
      </c>
      <c r="J11" s="105">
        <v>21</v>
      </c>
      <c r="K11" s="106">
        <v>780</v>
      </c>
    </row>
    <row r="12" spans="1:11" ht="15" x14ac:dyDescent="0.25">
      <c r="A12" s="108">
        <v>46143</v>
      </c>
      <c r="B12" s="100">
        <v>262.5</v>
      </c>
      <c r="C12" s="101">
        <v>25681</v>
      </c>
      <c r="D12" s="102">
        <v>336500</v>
      </c>
      <c r="E12" s="103">
        <v>0.99770000000000003</v>
      </c>
      <c r="F12" s="100">
        <v>223.5</v>
      </c>
      <c r="G12" s="101">
        <v>28275</v>
      </c>
      <c r="H12" s="102">
        <v>341830</v>
      </c>
      <c r="I12" s="104">
        <v>0.99370000000000003</v>
      </c>
      <c r="J12" s="105">
        <v>16</v>
      </c>
      <c r="K12" s="106">
        <v>0</v>
      </c>
    </row>
    <row r="13" spans="1:11" ht="15" x14ac:dyDescent="0.25">
      <c r="A13" s="108">
        <v>46174</v>
      </c>
      <c r="B13" s="100">
        <v>262.5</v>
      </c>
      <c r="C13" s="101">
        <v>22225</v>
      </c>
      <c r="D13" s="102">
        <v>317560</v>
      </c>
      <c r="E13" s="103">
        <v>0.99719999999999998</v>
      </c>
      <c r="F13" s="100">
        <v>223.5</v>
      </c>
      <c r="G13" s="101">
        <v>25193</v>
      </c>
      <c r="H13" s="102">
        <v>332430</v>
      </c>
      <c r="I13" s="104">
        <v>0.99460000000000004</v>
      </c>
      <c r="J13" s="105">
        <v>32</v>
      </c>
      <c r="K13" s="106"/>
    </row>
    <row r="14" spans="1:11" ht="15" x14ac:dyDescent="0.25">
      <c r="A14" s="108">
        <v>46204</v>
      </c>
      <c r="B14" s="100">
        <v>262.5</v>
      </c>
      <c r="C14" s="101">
        <v>17776</v>
      </c>
      <c r="D14" s="102">
        <v>279990</v>
      </c>
      <c r="E14" s="103">
        <v>0.99109999999999998</v>
      </c>
      <c r="F14" s="100">
        <v>223.5</v>
      </c>
      <c r="G14" s="101">
        <v>18028</v>
      </c>
      <c r="H14" s="102">
        <v>265660</v>
      </c>
      <c r="I14" s="104">
        <v>0.98950000000000005</v>
      </c>
      <c r="J14" s="105"/>
      <c r="K14" s="106"/>
    </row>
    <row r="15" spans="1:11" ht="15" x14ac:dyDescent="0.25">
      <c r="A15" s="108">
        <v>46235</v>
      </c>
      <c r="B15" s="100"/>
      <c r="C15" s="101"/>
      <c r="D15" s="102"/>
      <c r="E15" s="103"/>
      <c r="F15" s="100"/>
      <c r="G15" s="101"/>
      <c r="H15" s="102"/>
      <c r="I15" s="104"/>
      <c r="J15" s="105"/>
      <c r="K15" s="106"/>
    </row>
    <row r="16" spans="1:11" ht="15" x14ac:dyDescent="0.25">
      <c r="A16" s="108">
        <v>46266</v>
      </c>
      <c r="B16" s="100"/>
      <c r="C16" s="101"/>
      <c r="D16" s="102"/>
      <c r="E16" s="103"/>
      <c r="F16" s="100"/>
      <c r="G16" s="101"/>
      <c r="H16" s="102"/>
      <c r="I16" s="104"/>
      <c r="J16" s="105"/>
      <c r="K16" s="106"/>
    </row>
    <row r="17" spans="1:11" ht="15" x14ac:dyDescent="0.25">
      <c r="A17" s="108">
        <v>46296</v>
      </c>
      <c r="B17" s="100"/>
      <c r="C17" s="101"/>
      <c r="D17" s="102"/>
      <c r="E17" s="103"/>
      <c r="F17" s="100"/>
      <c r="G17" s="101"/>
      <c r="H17" s="102"/>
      <c r="I17" s="104"/>
      <c r="J17" s="105"/>
      <c r="K17" s="106"/>
    </row>
    <row r="18" spans="1:11" ht="15" x14ac:dyDescent="0.25">
      <c r="A18" s="108">
        <v>46327</v>
      </c>
      <c r="B18" s="100"/>
      <c r="C18" s="101"/>
      <c r="D18" s="102"/>
      <c r="E18" s="103"/>
      <c r="F18" s="100"/>
      <c r="G18" s="101"/>
      <c r="H18" s="102"/>
      <c r="I18" s="104"/>
      <c r="J18" s="105"/>
      <c r="K18" s="106"/>
    </row>
    <row r="19" spans="1:11" thickBot="1" x14ac:dyDescent="0.3">
      <c r="A19" s="108">
        <v>46357</v>
      </c>
      <c r="B19" s="100"/>
      <c r="C19" s="101"/>
      <c r="D19" s="102"/>
      <c r="E19" s="103"/>
      <c r="F19" s="100"/>
      <c r="G19" s="101"/>
      <c r="H19" s="102"/>
      <c r="I19" s="104"/>
      <c r="J19" s="105"/>
      <c r="K19" s="106"/>
    </row>
    <row r="20" spans="1:11" ht="17.25" thickTop="1" thickBot="1" x14ac:dyDescent="0.3">
      <c r="A20" s="109" t="s">
        <v>11</v>
      </c>
      <c r="B20" s="68"/>
      <c r="C20" s="69">
        <f>SUM(C8:C19)</f>
        <v>180072</v>
      </c>
      <c r="D20" s="70">
        <f>SUM(D8:D19)</f>
        <v>2278070</v>
      </c>
      <c r="E20" s="72"/>
      <c r="F20" s="73"/>
      <c r="G20" s="69">
        <f>SUM(G8:G19)</f>
        <v>174016</v>
      </c>
      <c r="H20" s="70">
        <f>SUM(H8:H19)</f>
        <v>2175810</v>
      </c>
      <c r="I20" s="72"/>
      <c r="J20" s="69">
        <f>SUM(J8:J19)</f>
        <v>120</v>
      </c>
      <c r="K20" s="110">
        <f>SUM(K8:K19)</f>
        <v>3040</v>
      </c>
    </row>
    <row r="21" spans="1:11" ht="24" customHeight="1" thickTop="1" thickBot="1" x14ac:dyDescent="0.3">
      <c r="A21" s="111" t="s">
        <v>12</v>
      </c>
      <c r="B21" s="112">
        <f>AVERAGE(B8:B19)</f>
        <v>250.54142857142855</v>
      </c>
      <c r="C21" s="113">
        <f>AVERAGE(C8:C19)</f>
        <v>25724.571428571428</v>
      </c>
      <c r="D21" s="112">
        <f>AVERAGE(D8:D19)</f>
        <v>325438.57142857142</v>
      </c>
      <c r="E21" s="114"/>
      <c r="F21" s="112">
        <f>AVERAGE(F8:F20)</f>
        <v>225.48857142857145</v>
      </c>
      <c r="G21" s="115">
        <f>AVERAGE(G8:G19)</f>
        <v>24859.428571428572</v>
      </c>
      <c r="H21" s="112">
        <f>AVERAGE(H8:H19)</f>
        <v>310830</v>
      </c>
      <c r="I21" s="116"/>
      <c r="J21" s="112"/>
      <c r="K21" s="117"/>
    </row>
    <row r="22" spans="1:11" x14ac:dyDescent="0.25">
      <c r="A22" s="118"/>
      <c r="B22" s="44"/>
      <c r="C22" s="45"/>
      <c r="D22" s="44"/>
      <c r="E22" s="46"/>
      <c r="F22" s="44"/>
      <c r="G22" s="47"/>
      <c r="H22" s="44"/>
      <c r="I22" s="48"/>
    </row>
    <row r="23" spans="1:11" x14ac:dyDescent="0.25">
      <c r="B23" s="49"/>
      <c r="D23" s="49"/>
      <c r="H23" s="49"/>
    </row>
    <row r="24" spans="1:11" ht="15" customHeight="1" x14ac:dyDescent="0.25">
      <c r="A24" s="119" t="s">
        <v>29</v>
      </c>
      <c r="B24" s="119"/>
      <c r="C24" s="119"/>
      <c r="D24" s="119"/>
      <c r="E24" s="119"/>
      <c r="F24" s="119"/>
      <c r="G24" s="119"/>
      <c r="H24" s="53"/>
      <c r="I24" s="53"/>
    </row>
    <row r="25" spans="1:11" ht="15" x14ac:dyDescent="0.25">
      <c r="A25" s="120" t="s">
        <v>30</v>
      </c>
      <c r="B25" s="120"/>
      <c r="C25" s="120"/>
      <c r="D25" s="120"/>
      <c r="E25" s="120"/>
      <c r="F25" s="120"/>
      <c r="G25" s="120"/>
      <c r="H25" s="56"/>
      <c r="I25" s="56"/>
    </row>
    <row r="26" spans="1:11" x14ac:dyDescent="0.25">
      <c r="B26" s="49"/>
      <c r="D26" s="49"/>
      <c r="H26" s="49"/>
    </row>
  </sheetData>
  <mergeCells count="11">
    <mergeCell ref="A24:G24"/>
    <mergeCell ref="H24:I24"/>
    <mergeCell ref="A25:G25"/>
    <mergeCell ref="H25:I25"/>
    <mergeCell ref="A2:K2"/>
    <mergeCell ref="A3:K3"/>
    <mergeCell ref="A4:K4"/>
    <mergeCell ref="A6:A7"/>
    <mergeCell ref="B6:E6"/>
    <mergeCell ref="F6:I6"/>
    <mergeCell ref="J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admin1</cp:lastModifiedBy>
  <cp:lastPrinted>2026-08-14T08:39:03Z</cp:lastPrinted>
  <dcterms:created xsi:type="dcterms:W3CDTF">2026-08-14T08:17:48Z</dcterms:created>
  <dcterms:modified xsi:type="dcterms:W3CDTF">2026-08-14T09:11:01Z</dcterms:modified>
</cp:coreProperties>
</file>